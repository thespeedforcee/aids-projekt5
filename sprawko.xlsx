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-w\OneDrive\Dokumenty\aids5\"/>
    </mc:Choice>
  </mc:AlternateContent>
  <xr:revisionPtr revIDLastSave="0" documentId="13_ncr:1_{B800AC72-DB1A-4D59-AC33-94FEB92716E0}" xr6:coauthVersionLast="47" xr6:coauthVersionMax="47" xr10:uidLastSave="{00000000-0000-0000-0000-000000000000}"/>
  <bookViews>
    <workbookView xWindow="-120" yWindow="-120" windowWidth="29040" windowHeight="15840" activeTab="4" xr2:uid="{B1FFC200-DB1E-4F6C-9678-F244F8F4F129}"/>
  </bookViews>
  <sheets>
    <sheet name="Arkusz1" sheetId="1" r:id="rId1"/>
    <sheet name="Arkusz5" sheetId="5" r:id="rId2"/>
    <sheet name="Arkusz2" sheetId="2" r:id="rId3"/>
    <sheet name="Arkusz3" sheetId="3" r:id="rId4"/>
    <sheet name="Arkusz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<sst xmlns="http://schemas.openxmlformats.org/spreadsheetml/2006/main" count="61" uniqueCount="39">
  <si>
    <t>=== EKSPERYMENT 1: Wplyw liczby przedmiotow (n) na czas obliczen ===</t>
  </si>
  <si>
    <t>Stala pojemnosc b = 100. Liczba powtorzen dla kazdego n = 10.</t>
  </si>
  <si>
    <t>n</t>
  </si>
  <si>
    <t>AD Sredni[ns]</t>
  </si>
  <si>
    <t>AD Odch.[ns]</t>
  </si>
  <si>
    <t>AZ Sredni[ns]</t>
  </si>
  <si>
    <t>AZ Odch.[ns]</t>
  </si>
  <si>
    <t>AB Sredni[ns]</t>
  </si>
  <si>
    <t>AB Odch.[ns]</t>
  </si>
  <si>
    <t>b</t>
  </si>
  <si>
    <t>=== EKSPERYMENT 2: Wplyw pojemnosci bagaznika (b) na czas obliczen ===</t>
  </si>
  <si>
    <t>Stala liczba przedmiotow n = 20. Liczba powtorzen dla kazdego b = 10.</t>
  </si>
  <si>
    <t>--- Macierz 3D: Algorytm Dynamiczny (AD) ---</t>
  </si>
  <si>
    <t>--- Macierz 3D: Algorytm Zachlanny (AZ) ---</t>
  </si>
  <si>
    <t>--- Macierz 3D: Algorytm Silowy (AB) ---</t>
  </si>
  <si>
    <t>Jakosc algorytmu zachlannego (AZ) wzgledem optimum (AD) ===</t>
  </si>
  <si>
    <t>Liczba wygenerowanych losowych instancji: 1000 (losowe n z [20, 100], b z [50, 200]).</t>
  </si>
  <si>
    <t>Metryka_Jakosci Wartosc</t>
  </si>
  <si>
    <t>Procent_znalezionych_optimum_AZ 53.40%</t>
  </si>
  <si>
    <t>Srednia_jakosc_rozwiazania_AZ   99.19%</t>
  </si>
  <si>
    <t>Najwieksze_odchylenie_bezwzgledne       10</t>
  </si>
  <si>
    <t>--- DANE DO HISTOGRAMU (Zadanie 4) ---</t>
  </si>
  <si>
    <t>Przedzial_bledu[%]</t>
  </si>
  <si>
    <t>Liczba_instancji</t>
  </si>
  <si>
    <t>0-5</t>
  </si>
  <si>
    <t>&gt;20</t>
  </si>
  <si>
    <t>5-10</t>
  </si>
  <si>
    <t>10-20</t>
  </si>
  <si>
    <t>AD Sredni[ms]</t>
  </si>
  <si>
    <t>AD odch. [ms]</t>
  </si>
  <si>
    <t>AZ Sredni[ms]</t>
  </si>
  <si>
    <t>AZ odch.[ms]</t>
  </si>
  <si>
    <t>AB sredni[ms]</t>
  </si>
  <si>
    <t>AB odch[ms]</t>
  </si>
  <si>
    <t>AD  Sredni[ms]</t>
  </si>
  <si>
    <t>AD och.[ms]</t>
  </si>
  <si>
    <t>AB Sredni [ms]</t>
  </si>
  <si>
    <t>AB odch. [ms]</t>
  </si>
  <si>
    <t>AD odch.[ms]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</si>
</sst>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zależność czasu obliczeń t (oś Y) od liczby elementów wyposażenia n (oś X) przy stałej pojemności miejsca ładunkowego b (b=100)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Arkusz1!$E$2:$E$16</c:f>
                <c:numCache>
                  <c:formatCode>General</c:formatCode>
                  <c:ptCount val="15"/>
                  <c:pt idx="0">
                    <c:v>2.8010000000000001E-3</c:v>
                  </c:pt>
                  <c:pt idx="1">
                    <c:v>7.8100000000000001E-4</c:v>
                  </c:pt>
                  <c:pt idx="2">
                    <c:v>5.5900000000000004E-4</c:v>
                  </c:pt>
                  <c:pt idx="3">
                    <c:v>1.8010000000000001E-3</c:v>
                  </c:pt>
                  <c:pt idx="4">
                    <c:v>8.1499999999999997E-4</c:v>
                  </c:pt>
                  <c:pt idx="5">
                    <c:v>6.6299999999999996E-4</c:v>
                  </c:pt>
                  <c:pt idx="6">
                    <c:v>8.3000000000000001E-4</c:v>
                  </c:pt>
                  <c:pt idx="7">
                    <c:v>2.898E-3</c:v>
                  </c:pt>
                  <c:pt idx="8">
                    <c:v>1.0839999999999999E-3</c:v>
                  </c:pt>
                  <c:pt idx="9">
                    <c:v>3.7550000000000001E-3</c:v>
                  </c:pt>
                  <c:pt idx="10">
                    <c:v>4.287E-3</c:v>
                  </c:pt>
                  <c:pt idx="11">
                    <c:v>1.072E-3</c:v>
                  </c:pt>
                  <c:pt idx="12">
                    <c:v>4.0159999999999996E-3</c:v>
                  </c:pt>
                  <c:pt idx="13">
                    <c:v>3.947E-3</c:v>
                  </c:pt>
                  <c:pt idx="14">
                    <c:v>9.1500000000000001E-4</c:v>
                  </c:pt>
                </c:numCache>
              </c:numRef>
            </c:plus>
            <c:minus>
              <c:numRef>
                <c:f>Arkusz1!$E$2:$E$16</c:f>
                <c:numCache>
                  <c:formatCode>General</c:formatCode>
                  <c:ptCount val="15"/>
                  <c:pt idx="0">
                    <c:v>2.8010000000000001E-3</c:v>
                  </c:pt>
                  <c:pt idx="1">
                    <c:v>7.8100000000000001E-4</c:v>
                  </c:pt>
                  <c:pt idx="2">
                    <c:v>5.5900000000000004E-4</c:v>
                  </c:pt>
                  <c:pt idx="3">
                    <c:v>1.8010000000000001E-3</c:v>
                  </c:pt>
                  <c:pt idx="4">
                    <c:v>8.1499999999999997E-4</c:v>
                  </c:pt>
                  <c:pt idx="5">
                    <c:v>6.6299999999999996E-4</c:v>
                  </c:pt>
                  <c:pt idx="6">
                    <c:v>8.3000000000000001E-4</c:v>
                  </c:pt>
                  <c:pt idx="7">
                    <c:v>2.898E-3</c:v>
                  </c:pt>
                  <c:pt idx="8">
                    <c:v>1.0839999999999999E-3</c:v>
                  </c:pt>
                  <c:pt idx="9">
                    <c:v>3.7550000000000001E-3</c:v>
                  </c:pt>
                  <c:pt idx="10">
                    <c:v>4.287E-3</c:v>
                  </c:pt>
                  <c:pt idx="11">
                    <c:v>1.072E-3</c:v>
                  </c:pt>
                  <c:pt idx="12">
                    <c:v>4.0159999999999996E-3</c:v>
                  </c:pt>
                  <c:pt idx="13">
                    <c:v>3.947E-3</c:v>
                  </c:pt>
                  <c:pt idx="14">
                    <c:v>9.1500000000000001E-4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Arkusz1!$A$2:$A$16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cat>
          <c:val>
            <c:numRef>
              <c:f>Arkusz1!$C$2:$C$16</c:f>
              <c:numCache>
                <c:formatCode>General</c:formatCode>
                <c:ptCount val="15"/>
                <c:pt idx="0">
                  <c:v>0.03</c:v>
                </c:pt>
                <c:pt idx="1">
                  <c:v>3.1919999999999997E-2</c:v>
                </c:pt>
                <c:pt idx="2">
                  <c:v>3.5270000000000003E-2</c:v>
                </c:pt>
                <c:pt idx="3">
                  <c:v>3.882E-2</c:v>
                </c:pt>
                <c:pt idx="4">
                  <c:v>4.0770000000000001E-2</c:v>
                </c:pt>
                <c:pt idx="5">
                  <c:v>4.3200000000000002E-2</c:v>
                </c:pt>
                <c:pt idx="6">
                  <c:v>4.6269999999999999E-2</c:v>
                </c:pt>
                <c:pt idx="7">
                  <c:v>4.9979999999999997E-2</c:v>
                </c:pt>
                <c:pt idx="8">
                  <c:v>5.2839999999999998E-2</c:v>
                </c:pt>
                <c:pt idx="9">
                  <c:v>5.6570000000000002E-2</c:v>
                </c:pt>
                <c:pt idx="10">
                  <c:v>6.0319999999999999E-2</c:v>
                </c:pt>
                <c:pt idx="11">
                  <c:v>6.0630000000000003E-2</c:v>
                </c:pt>
                <c:pt idx="12">
                  <c:v>6.5500000000000003E-2</c:v>
                </c:pt>
                <c:pt idx="13">
                  <c:v>6.7960000000000007E-2</c:v>
                </c:pt>
                <c:pt idx="14">
                  <c:v>6.9720000000000004E-2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5E-45B5-B3F8-73E558FC9AD8}"/>
            </c:ext>
          </c:extLst>
        </c:ser>
        <c:ser>
          <c:idx val="1"/>
          <c:order val="1"/>
          <c:tx>
            <c:v>AZ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Arkusz1!$I$2:$I$16</c:f>
                <c:numCache>
                  <c:formatCode>General</c:formatCode>
                  <c:ptCount val="15"/>
                  <c:pt idx="0">
                    <c:v>3.9399999999999998E-4</c:v>
                  </c:pt>
                  <c:pt idx="1">
                    <c:v>7.7000000000000001E-5</c:v>
                  </c:pt>
                  <c:pt idx="2">
                    <c:v>1.56E-4</c:v>
                  </c:pt>
                  <c:pt idx="3">
                    <c:v>2.7E-4</c:v>
                  </c:pt>
                  <c:pt idx="4">
                    <c:v>1.4200000000000001E-4</c:v>
                  </c:pt>
                  <c:pt idx="5">
                    <c:v>2.34E-4</c:v>
                  </c:pt>
                  <c:pt idx="6">
                    <c:v>1.0399999999999999E-4</c:v>
                  </c:pt>
                  <c:pt idx="7">
                    <c:v>2.7599999999999999E-4</c:v>
                  </c:pt>
                  <c:pt idx="8">
                    <c:v>2.4600000000000002E-4</c:v>
                  </c:pt>
                  <c:pt idx="9">
                    <c:v>1.34E-4</c:v>
                  </c:pt>
                  <c:pt idx="10">
                    <c:v>1.63E-4</c:v>
                  </c:pt>
                  <c:pt idx="11">
                    <c:v>1.56E-4</c:v>
                  </c:pt>
                  <c:pt idx="12">
                    <c:v>1E-4</c:v>
                  </c:pt>
                  <c:pt idx="13">
                    <c:v>1.85E-4</c:v>
                  </c:pt>
                  <c:pt idx="14">
                    <c:v>1.2E-4</c:v>
                  </c:pt>
                </c:numCache>
              </c:numRef>
            </c:plus>
            <c:minus>
              <c:numRef>
                <c:f>Arkusz1!$I$2:$I$16</c:f>
                <c:numCache>
                  <c:formatCode>General</c:formatCode>
                  <c:ptCount val="15"/>
                  <c:pt idx="0">
                    <c:v>3.9399999999999998E-4</c:v>
                  </c:pt>
                  <c:pt idx="1">
                    <c:v>7.7000000000000001E-5</c:v>
                  </c:pt>
                  <c:pt idx="2">
                    <c:v>1.56E-4</c:v>
                  </c:pt>
                  <c:pt idx="3">
                    <c:v>2.7E-4</c:v>
                  </c:pt>
                  <c:pt idx="4">
                    <c:v>1.4200000000000001E-4</c:v>
                  </c:pt>
                  <c:pt idx="5">
                    <c:v>2.34E-4</c:v>
                  </c:pt>
                  <c:pt idx="6">
                    <c:v>1.0399999999999999E-4</c:v>
                  </c:pt>
                  <c:pt idx="7">
                    <c:v>2.7599999999999999E-4</c:v>
                  </c:pt>
                  <c:pt idx="8">
                    <c:v>2.4600000000000002E-4</c:v>
                  </c:pt>
                  <c:pt idx="9">
                    <c:v>1.34E-4</c:v>
                  </c:pt>
                  <c:pt idx="10">
                    <c:v>1.63E-4</c:v>
                  </c:pt>
                  <c:pt idx="11">
                    <c:v>1.56E-4</c:v>
                  </c:pt>
                  <c:pt idx="12">
                    <c:v>1E-4</c:v>
                  </c:pt>
                  <c:pt idx="13">
                    <c:v>1.85E-4</c:v>
                  </c:pt>
                  <c:pt idx="14">
                    <c:v>1.2E-4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Arkusz1!$A$2:$A$16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cat>
          <c:val>
            <c:numRef>
              <c:f>Arkusz1!$G$2:$G$16</c:f>
              <c:numCache>
                <c:formatCode>General</c:formatCode>
                <c:ptCount val="15"/>
                <c:pt idx="0">
                  <c:v>7.1000000000000002E-4</c:v>
                </c:pt>
                <c:pt idx="1">
                  <c:v>5.9999999999999995E-4</c:v>
                </c:pt>
                <c:pt idx="2">
                  <c:v>6.6E-4</c:v>
                </c:pt>
                <c:pt idx="3">
                  <c:v>8.0999999999999996E-4</c:v>
                </c:pt>
                <c:pt idx="4">
                  <c:v>8.3000000000000001E-4</c:v>
                </c:pt>
                <c:pt idx="5">
                  <c:v>9.1E-4</c:v>
                </c:pt>
                <c:pt idx="6">
                  <c:v>8.8999999999999995E-4</c:v>
                </c:pt>
                <c:pt idx="7">
                  <c:v>1.3699999999999999E-3</c:v>
                </c:pt>
                <c:pt idx="8">
                  <c:v>1.4599999999999999E-3</c:v>
                </c:pt>
                <c:pt idx="9">
                  <c:v>1.6000000000000001E-3</c:v>
                </c:pt>
                <c:pt idx="10">
                  <c:v>1.75E-3</c:v>
                </c:pt>
                <c:pt idx="11">
                  <c:v>1.8400000000000001E-3</c:v>
                </c:pt>
                <c:pt idx="12">
                  <c:v>1.9E-3</c:v>
                </c:pt>
                <c:pt idx="13">
                  <c:v>2.14E-3</c:v>
                </c:pt>
                <c:pt idx="14">
                  <c:v>2.0400000000000001E-3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5E-45B5-B3F8-73E558FC9AD8}"/>
            </c:ext>
          </c:extLst>
        </c:ser>
        <c:ser>
          <c:idx val="2"/>
          <c:order val="2"/>
          <c:tx>
            <c:v>AB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Arkusz1!$M$2:$M$16</c:f>
                <c:numCache>
                  <c:formatCode>General</c:formatCode>
                  <c:ptCount val="15"/>
                  <c:pt idx="0">
                    <c:v>1.464E-3</c:v>
                  </c:pt>
                  <c:pt idx="1">
                    <c:v>2.702E-3</c:v>
                  </c:pt>
                  <c:pt idx="2">
                    <c:v>1.882E-3</c:v>
                  </c:pt>
                  <c:pt idx="3">
                    <c:v>3.6240000000000001E-2</c:v>
                  </c:pt>
                  <c:pt idx="4">
                    <c:v>1.9050000000000001E-2</c:v>
                  </c:pt>
                  <c:pt idx="5">
                    <c:v>4.4527999999999998E-2</c:v>
                  </c:pt>
                  <c:pt idx="6">
                    <c:v>3.4625999999999997E-2</c:v>
                  </c:pt>
                  <c:pt idx="7">
                    <c:v>0.113053</c:v>
                  </c:pt>
                  <c:pt idx="8">
                    <c:v>0.23491999999999999</c:v>
                  </c:pt>
                  <c:pt idx="9">
                    <c:v>0.38184099999999999</c:v>
                  </c:pt>
                  <c:pt idx="10">
                    <c:v>1.7309619999999999</c:v>
                  </c:pt>
                  <c:pt idx="11">
                    <c:v>3.5302449999999999</c:v>
                  </c:pt>
                  <c:pt idx="12">
                    <c:v>2.1613000000000002</c:v>
                  </c:pt>
                  <c:pt idx="13">
                    <c:v>4.5435720000000002</c:v>
                  </c:pt>
                  <c:pt idx="14">
                    <c:v>21.704269</c:v>
                  </c:pt>
                </c:numCache>
              </c:numRef>
            </c:plus>
            <c:minus>
              <c:numRef>
                <c:f>Arkusz1!$M$2:$M$16</c:f>
                <c:numCache>
                  <c:formatCode>General</c:formatCode>
                  <c:ptCount val="15"/>
                  <c:pt idx="0">
                    <c:v>1.464E-3</c:v>
                  </c:pt>
                  <c:pt idx="1">
                    <c:v>2.702E-3</c:v>
                  </c:pt>
                  <c:pt idx="2">
                    <c:v>1.882E-3</c:v>
                  </c:pt>
                  <c:pt idx="3">
                    <c:v>3.6240000000000001E-2</c:v>
                  </c:pt>
                  <c:pt idx="4">
                    <c:v>1.9050000000000001E-2</c:v>
                  </c:pt>
                  <c:pt idx="5">
                    <c:v>4.4527999999999998E-2</c:v>
                  </c:pt>
                  <c:pt idx="6">
                    <c:v>3.4625999999999997E-2</c:v>
                  </c:pt>
                  <c:pt idx="7">
                    <c:v>0.113053</c:v>
                  </c:pt>
                  <c:pt idx="8">
                    <c:v>0.23491999999999999</c:v>
                  </c:pt>
                  <c:pt idx="9">
                    <c:v>0.38184099999999999</c:v>
                  </c:pt>
                  <c:pt idx="10">
                    <c:v>1.7309619999999999</c:v>
                  </c:pt>
                  <c:pt idx="11">
                    <c:v>3.5302449999999999</c:v>
                  </c:pt>
                  <c:pt idx="12">
                    <c:v>2.1613000000000002</c:v>
                  </c:pt>
                  <c:pt idx="13">
                    <c:v>4.5435720000000002</c:v>
                  </c:pt>
                  <c:pt idx="14">
                    <c:v>21.704269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Arkusz1!$A$2:$A$16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</c:numCache>
            </c:numRef>
          </c:cat>
          <c:val>
            <c:numRef>
              <c:f>Arkusz1!$K$2:$K$16</c:f>
              <c:numCache>
                <c:formatCode>General</c:formatCode>
                <c:ptCount val="15"/>
                <c:pt idx="0">
                  <c:v>8.3400000000000002E-2</c:v>
                </c:pt>
                <c:pt idx="1">
                  <c:v>0.17848</c:v>
                </c:pt>
                <c:pt idx="2">
                  <c:v>0.38031999999999999</c:v>
                </c:pt>
                <c:pt idx="3">
                  <c:v>0.82633000000000001</c:v>
                </c:pt>
                <c:pt idx="4">
                  <c:v>1.7066300000000001</c:v>
                </c:pt>
                <c:pt idx="5">
                  <c:v>3.6039500000000002</c:v>
                </c:pt>
                <c:pt idx="6">
                  <c:v>7.4821799999999996</c:v>
                </c:pt>
                <c:pt idx="7">
                  <c:v>15.69197</c:v>
                </c:pt>
                <c:pt idx="8">
                  <c:v>32.8596</c:v>
                </c:pt>
                <c:pt idx="9">
                  <c:v>68.244429999999994</c:v>
                </c:pt>
                <c:pt idx="10">
                  <c:v>142.49263999999999</c:v>
                </c:pt>
                <c:pt idx="11">
                  <c:v>296.25990999999999</c:v>
                </c:pt>
                <c:pt idx="12">
                  <c:v>612.88904000000002</c:v>
                </c:pt>
                <c:pt idx="13">
                  <c:v>1265.95372</c:v>
                </c:pt>
                <c:pt idx="14">
                  <c:v>2627.4801400000001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5E-45B5-B3F8-73E558FC9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212959"/>
        <c:axId val="2027208159"/>
      </c:lineChart>
      <c:catAx>
        <c:axId val="202721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 wyposażenia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7208159"/>
        <c:crosses val="autoZero"/>
        <c:auto val="1"/>
        <c:lblAlgn val="ctr"/>
        <c:lblOffset val="100"/>
        <c:noMultiLvlLbl val="0"/>
      </c:catAx>
      <c:valAx>
        <c:axId val="20272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obliczeń t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7212959"/>
        <c:crosses val="autoZero"/>
        <c:crossBetween val="between"/>
        <c:dispUnits>
          <c:builtInUnit val="hundred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zależność czasu obliczeń t (oś Y) od pojemności miejsca ładunkowego b (oś X) przy stałej liczbie elementów n (n=20)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Arkusz2!$E$2:$E$16</c:f>
                <c:numCache>
                  <c:formatCode>General</c:formatCode>
                  <c:ptCount val="15"/>
                  <c:pt idx="0">
                    <c:v>8.6700000000000004E-4</c:v>
                  </c:pt>
                  <c:pt idx="1">
                    <c:v>5.3300000000000005E-4</c:v>
                  </c:pt>
                  <c:pt idx="2">
                    <c:v>3.241E-3</c:v>
                  </c:pt>
                  <c:pt idx="3">
                    <c:v>5.4100000000000003E-4</c:v>
                  </c:pt>
                  <c:pt idx="4">
                    <c:v>1.627E-3</c:v>
                  </c:pt>
                  <c:pt idx="5">
                    <c:v>4.5180000000000003E-3</c:v>
                  </c:pt>
                  <c:pt idx="6">
                    <c:v>2.5100000000000001E-3</c:v>
                  </c:pt>
                  <c:pt idx="7">
                    <c:v>4.8719999999999996E-3</c:v>
                  </c:pt>
                  <c:pt idx="8">
                    <c:v>7.0520000000000001E-3</c:v>
                  </c:pt>
                  <c:pt idx="9">
                    <c:v>2.797E-3</c:v>
                  </c:pt>
                  <c:pt idx="10">
                    <c:v>7.4999999999999997E-3</c:v>
                  </c:pt>
                  <c:pt idx="11">
                    <c:v>2.2690000000000002E-3</c:v>
                  </c:pt>
                  <c:pt idx="12">
                    <c:v>1.2359999999999999E-2</c:v>
                  </c:pt>
                  <c:pt idx="13">
                    <c:v>5.0549999999999996E-3</c:v>
                  </c:pt>
                  <c:pt idx="14">
                    <c:v>1.17E-2</c:v>
                  </c:pt>
                </c:numCache>
              </c:numRef>
            </c:plus>
            <c:minus>
              <c:numRef>
                <c:f>Arkusz2!$E$2:$E$16</c:f>
                <c:numCache>
                  <c:formatCode>General</c:formatCode>
                  <c:ptCount val="15"/>
                  <c:pt idx="0">
                    <c:v>8.6700000000000004E-4</c:v>
                  </c:pt>
                  <c:pt idx="1">
                    <c:v>5.3300000000000005E-4</c:v>
                  </c:pt>
                  <c:pt idx="2">
                    <c:v>3.241E-3</c:v>
                  </c:pt>
                  <c:pt idx="3">
                    <c:v>5.4100000000000003E-4</c:v>
                  </c:pt>
                  <c:pt idx="4">
                    <c:v>1.627E-3</c:v>
                  </c:pt>
                  <c:pt idx="5">
                    <c:v>4.5180000000000003E-3</c:v>
                  </c:pt>
                  <c:pt idx="6">
                    <c:v>2.5100000000000001E-3</c:v>
                  </c:pt>
                  <c:pt idx="7">
                    <c:v>4.8719999999999996E-3</c:v>
                  </c:pt>
                  <c:pt idx="8">
                    <c:v>7.0520000000000001E-3</c:v>
                  </c:pt>
                  <c:pt idx="9">
                    <c:v>2.797E-3</c:v>
                  </c:pt>
                  <c:pt idx="10">
                    <c:v>7.4999999999999997E-3</c:v>
                  </c:pt>
                  <c:pt idx="11">
                    <c:v>2.2690000000000002E-3</c:v>
                  </c:pt>
                  <c:pt idx="12">
                    <c:v>1.2359999999999999E-2</c:v>
                  </c:pt>
                  <c:pt idx="13">
                    <c:v>5.0549999999999996E-3</c:v>
                  </c:pt>
                  <c:pt idx="14">
                    <c:v>1.17E-2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Arkusz2!$A$2:$A$16</c:f>
              <c:numCache>
                <c:formatCode>General</c:formatCode>
                <c:ptCount val="1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</c:numCache>
            </c:numRef>
          </c:cat>
          <c:val>
            <c:numRef>
              <c:f>Arkusz2!$C$2:$C$16</c:f>
              <c:numCache>
                <c:formatCode>General</c:formatCode>
                <c:ptCount val="15"/>
                <c:pt idx="0">
                  <c:v>1.306E-2</c:v>
                </c:pt>
                <c:pt idx="1">
                  <c:v>2.427E-2</c:v>
                </c:pt>
                <c:pt idx="2">
                  <c:v>3.6560000000000002E-2</c:v>
                </c:pt>
                <c:pt idx="3">
                  <c:v>4.7239999999999997E-2</c:v>
                </c:pt>
                <c:pt idx="4">
                  <c:v>5.8869999999999999E-2</c:v>
                </c:pt>
                <c:pt idx="5">
                  <c:v>7.0790000000000006E-2</c:v>
                </c:pt>
                <c:pt idx="6">
                  <c:v>8.1040000000000001E-2</c:v>
                </c:pt>
                <c:pt idx="7">
                  <c:v>9.5350000000000004E-2</c:v>
                </c:pt>
                <c:pt idx="8">
                  <c:v>0.10859000000000001</c:v>
                </c:pt>
                <c:pt idx="9">
                  <c:v>0.11826</c:v>
                </c:pt>
                <c:pt idx="10">
                  <c:v>0.13128000000000001</c:v>
                </c:pt>
                <c:pt idx="11">
                  <c:v>0.13994000000000001</c:v>
                </c:pt>
                <c:pt idx="12">
                  <c:v>0.15679000000000001</c:v>
                </c:pt>
                <c:pt idx="13">
                  <c:v>0.16553999999999999</c:v>
                </c:pt>
                <c:pt idx="14">
                  <c:v>0.17960000000000001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45-43F2-8CAA-4B9E3F80F00A}"/>
            </c:ext>
          </c:extLst>
        </c:ser>
        <c:ser>
          <c:idx val="1"/>
          <c:order val="1"/>
          <c:tx>
            <c:v>AZ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Arkusz2!$I$2:$I$16</c:f>
                <c:numCache>
                  <c:formatCode>General</c:formatCode>
                  <c:ptCount val="15"/>
                  <c:pt idx="0">
                    <c:v>2.3900000000000001E-4</c:v>
                  </c:pt>
                  <c:pt idx="1">
                    <c:v>1.6899999999999999E-4</c:v>
                  </c:pt>
                  <c:pt idx="2">
                    <c:v>1.85E-4</c:v>
                  </c:pt>
                  <c:pt idx="3">
                    <c:v>1.37E-4</c:v>
                  </c:pt>
                  <c:pt idx="4">
                    <c:v>2.05E-4</c:v>
                  </c:pt>
                  <c:pt idx="5">
                    <c:v>2.0599999999999999E-4</c:v>
                  </c:pt>
                  <c:pt idx="6">
                    <c:v>1E-4</c:v>
                  </c:pt>
                  <c:pt idx="7">
                    <c:v>1.8000000000000001E-4</c:v>
                  </c:pt>
                  <c:pt idx="8">
                    <c:v>1.7200000000000001E-4</c:v>
                  </c:pt>
                  <c:pt idx="9">
                    <c:v>1.36E-4</c:v>
                  </c:pt>
                  <c:pt idx="10">
                    <c:v>1.2999999999999999E-4</c:v>
                  </c:pt>
                  <c:pt idx="11">
                    <c:v>1.76E-4</c:v>
                  </c:pt>
                  <c:pt idx="12">
                    <c:v>1.08E-4</c:v>
                  </c:pt>
                  <c:pt idx="13">
                    <c:v>1.5799999999999999E-4</c:v>
                  </c:pt>
                  <c:pt idx="14">
                    <c:v>1.8000000000000001E-4</c:v>
                  </c:pt>
                </c:numCache>
              </c:numRef>
            </c:plus>
            <c:minus>
              <c:numRef>
                <c:f>Arkusz2!$I$2:$I$16</c:f>
                <c:numCache>
                  <c:formatCode>General</c:formatCode>
                  <c:ptCount val="15"/>
                  <c:pt idx="0">
                    <c:v>2.3900000000000001E-4</c:v>
                  </c:pt>
                  <c:pt idx="1">
                    <c:v>1.6899999999999999E-4</c:v>
                  </c:pt>
                  <c:pt idx="2">
                    <c:v>1.85E-4</c:v>
                  </c:pt>
                  <c:pt idx="3">
                    <c:v>1.37E-4</c:v>
                  </c:pt>
                  <c:pt idx="4">
                    <c:v>2.05E-4</c:v>
                  </c:pt>
                  <c:pt idx="5">
                    <c:v>2.0599999999999999E-4</c:v>
                  </c:pt>
                  <c:pt idx="6">
                    <c:v>1E-4</c:v>
                  </c:pt>
                  <c:pt idx="7">
                    <c:v>1.8000000000000001E-4</c:v>
                  </c:pt>
                  <c:pt idx="8">
                    <c:v>1.7200000000000001E-4</c:v>
                  </c:pt>
                  <c:pt idx="9">
                    <c:v>1.36E-4</c:v>
                  </c:pt>
                  <c:pt idx="10">
                    <c:v>1.2999999999999999E-4</c:v>
                  </c:pt>
                  <c:pt idx="11">
                    <c:v>1.76E-4</c:v>
                  </c:pt>
                  <c:pt idx="12">
                    <c:v>1.08E-4</c:v>
                  </c:pt>
                  <c:pt idx="13">
                    <c:v>1.5799999999999999E-4</c:v>
                  </c:pt>
                  <c:pt idx="14">
                    <c:v>1.8000000000000001E-4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Arkusz2!$A$2:$A$16</c:f>
              <c:numCache>
                <c:formatCode>General</c:formatCode>
                <c:ptCount val="1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</c:numCache>
            </c:numRef>
          </c:cat>
          <c:val>
            <c:numRef>
              <c:f>Arkusz2!$G$2:$G$16</c:f>
              <c:numCache>
                <c:formatCode>General</c:formatCode>
                <c:ptCount val="15"/>
                <c:pt idx="0">
                  <c:v>1.81E-3</c:v>
                </c:pt>
                <c:pt idx="1">
                  <c:v>1.66E-3</c:v>
                </c:pt>
                <c:pt idx="2">
                  <c:v>1.7700000000000001E-3</c:v>
                </c:pt>
                <c:pt idx="3">
                  <c:v>1.81E-3</c:v>
                </c:pt>
                <c:pt idx="4">
                  <c:v>1.8699999999999999E-3</c:v>
                </c:pt>
                <c:pt idx="5">
                  <c:v>1.8500000000000001E-3</c:v>
                </c:pt>
                <c:pt idx="6">
                  <c:v>1.8E-3</c:v>
                </c:pt>
                <c:pt idx="7">
                  <c:v>1.8600000000000001E-3</c:v>
                </c:pt>
                <c:pt idx="8">
                  <c:v>1.98E-3</c:v>
                </c:pt>
                <c:pt idx="9">
                  <c:v>1.8600000000000001E-3</c:v>
                </c:pt>
                <c:pt idx="10">
                  <c:v>1.91E-3</c:v>
                </c:pt>
                <c:pt idx="11">
                  <c:v>1.81E-3</c:v>
                </c:pt>
                <c:pt idx="12">
                  <c:v>1.92E-3</c:v>
                </c:pt>
                <c:pt idx="13">
                  <c:v>1.89E-3</c:v>
                </c:pt>
                <c:pt idx="14">
                  <c:v>1.9400000000000001E-3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45-43F2-8CAA-4B9E3F80F00A}"/>
            </c:ext>
          </c:extLst>
        </c:ser>
        <c:ser>
          <c:idx val="2"/>
          <c:order val="2"/>
          <c:tx>
            <c:v>AB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Arkusz2!$M$2:$M$16</c:f>
                <c:numCache>
                  <c:formatCode>General</c:formatCode>
                  <c:ptCount val="15"/>
                  <c:pt idx="0">
                    <c:v>1.058047</c:v>
                  </c:pt>
                  <c:pt idx="1">
                    <c:v>1.427983</c:v>
                  </c:pt>
                  <c:pt idx="2">
                    <c:v>0.69686800000000004</c:v>
                  </c:pt>
                  <c:pt idx="3">
                    <c:v>0.17844099999999999</c:v>
                  </c:pt>
                  <c:pt idx="4">
                    <c:v>0.77667299999999995</c:v>
                  </c:pt>
                  <c:pt idx="5">
                    <c:v>1.930679</c:v>
                  </c:pt>
                  <c:pt idx="6">
                    <c:v>0.48105399999999998</c:v>
                  </c:pt>
                  <c:pt idx="7">
                    <c:v>1.0928070000000001</c:v>
                  </c:pt>
                  <c:pt idx="8">
                    <c:v>0.51471800000000001</c:v>
                  </c:pt>
                  <c:pt idx="9">
                    <c:v>1.6360079999999999</c:v>
                  </c:pt>
                  <c:pt idx="10">
                    <c:v>0.97491399999999995</c:v>
                  </c:pt>
                  <c:pt idx="11">
                    <c:v>0.54588999999999999</c:v>
                  </c:pt>
                  <c:pt idx="12">
                    <c:v>0.542597</c:v>
                  </c:pt>
                  <c:pt idx="13">
                    <c:v>1.1379760000000001</c:v>
                  </c:pt>
                  <c:pt idx="14">
                    <c:v>0.89400100000000005</c:v>
                  </c:pt>
                </c:numCache>
              </c:numRef>
            </c:plus>
            <c:minus>
              <c:numRef>
                <c:f>Arkusz2!$M$2:$M$16</c:f>
                <c:numCache>
                  <c:formatCode>General</c:formatCode>
                  <c:ptCount val="15"/>
                  <c:pt idx="0">
                    <c:v>1.058047</c:v>
                  </c:pt>
                  <c:pt idx="1">
                    <c:v>1.427983</c:v>
                  </c:pt>
                  <c:pt idx="2">
                    <c:v>0.69686800000000004</c:v>
                  </c:pt>
                  <c:pt idx="3">
                    <c:v>0.17844099999999999</c:v>
                  </c:pt>
                  <c:pt idx="4">
                    <c:v>0.77667299999999995</c:v>
                  </c:pt>
                  <c:pt idx="5">
                    <c:v>1.930679</c:v>
                  </c:pt>
                  <c:pt idx="6">
                    <c:v>0.48105399999999998</c:v>
                  </c:pt>
                  <c:pt idx="7">
                    <c:v>1.0928070000000001</c:v>
                  </c:pt>
                  <c:pt idx="8">
                    <c:v>0.51471800000000001</c:v>
                  </c:pt>
                  <c:pt idx="9">
                    <c:v>1.6360079999999999</c:v>
                  </c:pt>
                  <c:pt idx="10">
                    <c:v>0.97491399999999995</c:v>
                  </c:pt>
                  <c:pt idx="11">
                    <c:v>0.54588999999999999</c:v>
                  </c:pt>
                  <c:pt idx="12">
                    <c:v>0.542597</c:v>
                  </c:pt>
                  <c:pt idx="13">
                    <c:v>1.1379760000000001</c:v>
                  </c:pt>
                  <c:pt idx="14">
                    <c:v>0.89400100000000005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Arkusz2!$A$2:$A$16</c:f>
              <c:numCache>
                <c:formatCode>General</c:formatCode>
                <c:ptCount val="1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</c:numCache>
            </c:numRef>
          </c:cat>
          <c:val>
            <c:numRef>
              <c:f>Arkusz2!$K$2:$K$16</c:f>
              <c:numCache>
                <c:formatCode>General</c:formatCode>
                <c:ptCount val="15"/>
                <c:pt idx="0">
                  <c:v>142.40120999999999</c:v>
                </c:pt>
                <c:pt idx="1">
                  <c:v>143.50169</c:v>
                </c:pt>
                <c:pt idx="2">
                  <c:v>142.46451999999999</c:v>
                </c:pt>
                <c:pt idx="3">
                  <c:v>143.20477</c:v>
                </c:pt>
                <c:pt idx="4">
                  <c:v>144.16629</c:v>
                </c:pt>
                <c:pt idx="5">
                  <c:v>144.00418999999999</c:v>
                </c:pt>
                <c:pt idx="6">
                  <c:v>142.96399</c:v>
                </c:pt>
                <c:pt idx="7">
                  <c:v>144.35045</c:v>
                </c:pt>
                <c:pt idx="8">
                  <c:v>145.96609000000001</c:v>
                </c:pt>
                <c:pt idx="9">
                  <c:v>145.89324999999999</c:v>
                </c:pt>
                <c:pt idx="10">
                  <c:v>145.93288999999999</c:v>
                </c:pt>
                <c:pt idx="11">
                  <c:v>145.88480000000001</c:v>
                </c:pt>
                <c:pt idx="12">
                  <c:v>145.90765999999999</c:v>
                </c:pt>
                <c:pt idx="13">
                  <c:v>147.1123</c:v>
                </c:pt>
                <c:pt idx="14">
                  <c:v>147.12545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45-43F2-8CAA-4B9E3F80F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232159"/>
        <c:axId val="2027229279"/>
      </c:lineChart>
      <c:catAx>
        <c:axId val="202723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pojemność miejsca ładunkowego b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7229279"/>
        <c:crosses val="autoZero"/>
        <c:auto val="1"/>
        <c:lblAlgn val="ctr"/>
        <c:lblOffset val="100"/>
        <c:noMultiLvlLbl val="0"/>
      </c:catAx>
      <c:valAx>
        <c:axId val="202722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obliczeń t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72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czasu obliczeń t od liczby n elementów wyposażenia i pojemności miejsca ładunkowego b dla algorytmu dynamicznego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Arkusz3!$A$2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Arkusz3!$B$1:$G$1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Arkusz3!$B$2:$G$2</c:f>
              <c:numCache>
                <c:formatCode>General</c:formatCode>
                <c:ptCount val="6"/>
                <c:pt idx="0">
                  <c:v>2.4E-2</c:v>
                </c:pt>
                <c:pt idx="1">
                  <c:v>4.4999999999999998E-2</c:v>
                </c:pt>
                <c:pt idx="2">
                  <c:v>4.2999999999999997E-2</c:v>
                </c:pt>
                <c:pt idx="3">
                  <c:v>6.0999999999999999E-2</c:v>
                </c:pt>
                <c:pt idx="4">
                  <c:v>7.1999999999999995E-2</c:v>
                </c:pt>
                <c:pt idx="5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8-4439-8C7A-D91DCD760388}"/>
            </c:ext>
          </c:extLst>
        </c:ser>
        <c:ser>
          <c:idx val="1"/>
          <c:order val="1"/>
          <c:tx>
            <c:strRef>
              <c:f>Arkusz3!$A$3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Arkusz3!$B$1:$G$1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Arkusz3!$B$3:$G$3</c:f>
              <c:numCache>
                <c:formatCode>General</c:formatCode>
                <c:ptCount val="6"/>
                <c:pt idx="0">
                  <c:v>1.7999999999999999E-2</c:v>
                </c:pt>
                <c:pt idx="1">
                  <c:v>3.6999999999999998E-2</c:v>
                </c:pt>
                <c:pt idx="2">
                  <c:v>5.5E-2</c:v>
                </c:pt>
                <c:pt idx="3">
                  <c:v>7.0999999999999994E-2</c:v>
                </c:pt>
                <c:pt idx="4">
                  <c:v>0.115</c:v>
                </c:pt>
                <c:pt idx="5">
                  <c:v>0.14599999999999999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8-4439-8C7A-D91DCD760388}"/>
            </c:ext>
          </c:extLst>
        </c:ser>
        <c:ser>
          <c:idx val="2"/>
          <c:order val="2"/>
          <c:tx>
            <c:strRef>
              <c:f>Arkusz3!$A$4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Arkusz3!$B$1:$G$1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Arkusz3!$B$4:$G$4</c:f>
              <c:numCache>
                <c:formatCode>General</c:formatCode>
                <c:ptCount val="6"/>
                <c:pt idx="0">
                  <c:v>2.1000000000000001E-2</c:v>
                </c:pt>
                <c:pt idx="1">
                  <c:v>4.9000000000000002E-2</c:v>
                </c:pt>
                <c:pt idx="2">
                  <c:v>6.7000000000000004E-2</c:v>
                </c:pt>
                <c:pt idx="3">
                  <c:v>8.3000000000000004E-2</c:v>
                </c:pt>
                <c:pt idx="4">
                  <c:v>0.10199999999999999</c:v>
                </c:pt>
                <c:pt idx="5">
                  <c:v>0.127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8-4439-8C7A-D91DCD760388}"/>
            </c:ext>
          </c:extLst>
        </c:ser>
        <c:ser>
          <c:idx val="3"/>
          <c:order val="3"/>
          <c:tx>
            <c:strRef>
              <c:f>Arkusz3!$A$5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Arkusz3!$B$1:$G$1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Arkusz3!$B$5:$G$5</c:f>
              <c:numCache>
                <c:formatCode>General</c:formatCode>
                <c:ptCount val="6"/>
                <c:pt idx="0">
                  <c:v>2.5000000000000001E-2</c:v>
                </c:pt>
                <c:pt idx="1">
                  <c:v>4.7E-2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0.114</c:v>
                </c:pt>
                <c:pt idx="5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B8-4439-8C7A-D91DCD760388}"/>
            </c:ext>
          </c:extLst>
        </c:ser>
        <c:ser>
          <c:idx val="4"/>
          <c:order val="4"/>
          <c:tx>
            <c:strRef>
              <c:f>Arkusz3!$A$6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Arkusz3!$B$1:$G$1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Arkusz3!$B$6:$G$6</c:f>
              <c:numCache>
                <c:formatCode>General</c:formatCode>
                <c:ptCount val="6"/>
                <c:pt idx="0">
                  <c:v>2.7E-2</c:v>
                </c:pt>
                <c:pt idx="1">
                  <c:v>5.1999999999999998E-2</c:v>
                </c:pt>
                <c:pt idx="2">
                  <c:v>0.08</c:v>
                </c:pt>
                <c:pt idx="3">
                  <c:v>0.106</c:v>
                </c:pt>
                <c:pt idx="4">
                  <c:v>0.129</c:v>
                </c:pt>
                <c:pt idx="5">
                  <c:v>0.153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B8-4439-8C7A-D91DCD760388}"/>
            </c:ext>
          </c:extLst>
        </c:ser>
        <c:ser>
          <c:idx val="5"/>
          <c:order val="5"/>
          <c:tx>
            <c:strRef>
              <c:f>Arkusz3!$A$7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Arkusz3!$B$1:$G$1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Arkusz3!$B$7:$G$7</c:f>
              <c:numCache>
                <c:formatCode>General</c:formatCode>
                <c:ptCount val="6"/>
                <c:pt idx="0">
                  <c:v>3.2000000000000001E-2</c:v>
                </c:pt>
                <c:pt idx="1">
                  <c:v>5.8999999999999997E-2</c:v>
                </c:pt>
                <c:pt idx="2">
                  <c:v>8.7999999999999995E-2</c:v>
                </c:pt>
                <c:pt idx="3">
                  <c:v>0.115</c:v>
                </c:pt>
                <c:pt idx="4">
                  <c:v>0.14399999999999999</c:v>
                </c:pt>
                <c:pt idx="5">
                  <c:v>0.17100000000000001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B8-4439-8C7A-D91DCD760388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19548384"/>
        <c:axId val="1919548864"/>
        <c:axId val="1690660528"/>
      </c:surface3DChart>
      <c:catAx>
        <c:axId val="191954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miejsca ładunkowego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48864"/>
        <c:crosses val="autoZero"/>
        <c:auto val="1"/>
        <c:lblAlgn val="ctr"/>
        <c:lblOffset val="100"/>
        <c:noMultiLvlLbl val="0"/>
      </c:catAx>
      <c:valAx>
        <c:axId val="19195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obliczeń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48384"/>
        <c:crosses val="autoZero"/>
        <c:crossBetween val="midCat"/>
      </c:valAx>
      <c:serAx>
        <c:axId val="1690660528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48864"/>
        <c:crosses val="autoZero"/>
        <c:tickLblSkip val="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czasu obliczeń t od liczby n elementów wyposażenia i pojemności miejsca ładunkowego b dla algorytmu siłowego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Arkusz3!$H$35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Arkusz3!$I$34:$N$34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Arkusz3!$I$35:$N$35</c:f>
              <c:numCache>
                <c:formatCode>General</c:formatCode>
                <c:ptCount val="6"/>
                <c:pt idx="0">
                  <c:v>0.115</c:v>
                </c:pt>
                <c:pt idx="1">
                  <c:v>0.107</c:v>
                </c:pt>
                <c:pt idx="2">
                  <c:v>8.4000000000000005E-2</c:v>
                </c:pt>
                <c:pt idx="3">
                  <c:v>8.4000000000000005E-2</c:v>
                </c:pt>
                <c:pt idx="4">
                  <c:v>8.3000000000000004E-2</c:v>
                </c:pt>
                <c:pt idx="5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6-4E98-9B8B-9B89880128B5}"/>
            </c:ext>
          </c:extLst>
        </c:ser>
        <c:ser>
          <c:idx val="1"/>
          <c:order val="1"/>
          <c:tx>
            <c:strRef>
              <c:f>Arkusz3!$H$36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Arkusz3!$I$34:$N$34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Arkusz3!$I$36:$N$36</c:f>
              <c:numCache>
                <c:formatCode>General</c:formatCode>
                <c:ptCount val="6"/>
                <c:pt idx="0">
                  <c:v>0.38500000000000001</c:v>
                </c:pt>
                <c:pt idx="1">
                  <c:v>0.39100000000000001</c:v>
                </c:pt>
                <c:pt idx="2">
                  <c:v>0.40799999999999997</c:v>
                </c:pt>
                <c:pt idx="3">
                  <c:v>0.38300000000000001</c:v>
                </c:pt>
                <c:pt idx="4">
                  <c:v>0.498</c:v>
                </c:pt>
                <c:pt idx="5">
                  <c:v>0.49299999999999999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06-4E98-9B8B-9B89880128B5}"/>
            </c:ext>
          </c:extLst>
        </c:ser>
        <c:ser>
          <c:idx val="2"/>
          <c:order val="2"/>
          <c:tx>
            <c:strRef>
              <c:f>Arkusz3!$H$37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Arkusz3!$I$34:$N$34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Arkusz3!$I$37:$N$37</c:f>
              <c:numCache>
                <c:formatCode>General</c:formatCode>
                <c:ptCount val="6"/>
                <c:pt idx="0">
                  <c:v>1.6919999999999999</c:v>
                </c:pt>
                <c:pt idx="1">
                  <c:v>2.0760000000000001</c:v>
                </c:pt>
                <c:pt idx="2">
                  <c:v>1.9350000000000001</c:v>
                </c:pt>
                <c:pt idx="3">
                  <c:v>1.73</c:v>
                </c:pt>
                <c:pt idx="4">
                  <c:v>1.722</c:v>
                </c:pt>
                <c:pt idx="5">
                  <c:v>1.7110000000000001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06-4E98-9B8B-9B89880128B5}"/>
            </c:ext>
          </c:extLst>
        </c:ser>
        <c:ser>
          <c:idx val="3"/>
          <c:order val="3"/>
          <c:tx>
            <c:strRef>
              <c:f>Arkusz3!$H$38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Arkusz3!$I$34:$N$34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Arkusz3!$I$38:$N$38</c:f>
              <c:numCache>
                <c:formatCode>General</c:formatCode>
                <c:ptCount val="6"/>
                <c:pt idx="0">
                  <c:v>7.6029999999999998</c:v>
                </c:pt>
                <c:pt idx="1">
                  <c:v>7.6269999999999998</c:v>
                </c:pt>
                <c:pt idx="2">
                  <c:v>7.5549999999999997</c:v>
                </c:pt>
                <c:pt idx="3">
                  <c:v>7.4909999999999997</c:v>
                </c:pt>
                <c:pt idx="4">
                  <c:v>7.468</c:v>
                </c:pt>
                <c:pt idx="5">
                  <c:v>7.4939999999999998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06-4E98-9B8B-9B89880128B5}"/>
            </c:ext>
          </c:extLst>
        </c:ser>
        <c:ser>
          <c:idx val="4"/>
          <c:order val="4"/>
          <c:tx>
            <c:strRef>
              <c:f>Arkusz3!$H$39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Arkusz3!$I$34:$N$34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Arkusz3!$I$39:$N$39</c:f>
              <c:numCache>
                <c:formatCode>General</c:formatCode>
                <c:ptCount val="6"/>
                <c:pt idx="0">
                  <c:v>33.14</c:v>
                </c:pt>
                <c:pt idx="1">
                  <c:v>32.875</c:v>
                </c:pt>
                <c:pt idx="2">
                  <c:v>32.957999999999998</c:v>
                </c:pt>
                <c:pt idx="3">
                  <c:v>32.936</c:v>
                </c:pt>
                <c:pt idx="4">
                  <c:v>32.923000000000002</c:v>
                </c:pt>
                <c:pt idx="5">
                  <c:v>33.07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06-4E98-9B8B-9B89880128B5}"/>
            </c:ext>
          </c:extLst>
        </c:ser>
        <c:ser>
          <c:idx val="5"/>
          <c:order val="5"/>
          <c:tx>
            <c:strRef>
              <c:f>Arkusz3!$H$40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Arkusz3!$I$34:$N$34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Arkusz3!$I$40:$N$40</c:f>
              <c:numCache>
                <c:formatCode>General</c:formatCode>
                <c:ptCount val="6"/>
                <c:pt idx="0">
                  <c:v>143.398</c:v>
                </c:pt>
                <c:pt idx="1">
                  <c:v>144.03200000000001</c:v>
                </c:pt>
                <c:pt idx="2">
                  <c:v>143.262</c:v>
                </c:pt>
                <c:pt idx="3">
                  <c:v>143.196</c:v>
                </c:pt>
                <c:pt idx="4">
                  <c:v>143.249</c:v>
                </c:pt>
                <c:pt idx="5">
                  <c:v>145.785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06-4E98-9B8B-9B89880128B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19510464"/>
        <c:axId val="1919504224"/>
        <c:axId val="1924138640"/>
      </c:surface3DChart>
      <c:catAx>
        <c:axId val="191951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miejsca ładunkowego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04224"/>
        <c:crosses val="autoZero"/>
        <c:auto val="1"/>
        <c:lblAlgn val="ctr"/>
        <c:lblOffset val="100"/>
        <c:noMultiLvlLbl val="0"/>
      </c:catAx>
      <c:valAx>
        <c:axId val="19195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obliczeń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10464"/>
        <c:crosses val="autoZero"/>
        <c:crossBetween val="midCat"/>
      </c:valAx>
      <c:serAx>
        <c:axId val="1924138640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04224"/>
        <c:crosses val="autoZero"/>
        <c:tickLblSkip val="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zależność czasu obliczeń t od liczby n elementów wyposażenia i pojemności miejsca ładunkowego b dla algorytmu zachłannego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Arkusz3!$N$10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Arkusz3!$O$9:$T$9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Arkusz3!$O$10:$T$10</c:f>
              <c:numCache>
                <c:formatCode>General</c:formatCode>
                <c:ptCount val="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9-41BC-91D5-235C4DFBBFB9}"/>
            </c:ext>
          </c:extLst>
        </c:ser>
        <c:ser>
          <c:idx val="1"/>
          <c:order val="1"/>
          <c:tx>
            <c:strRef>
              <c:f>Arkusz3!$N$11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Arkusz3!$O$9:$T$9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Arkusz3!$O$11:$T$11</c:f>
              <c:numCache>
                <c:formatCode>General</c:formatCode>
                <c:ptCount val="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A9-41BC-91D5-235C4DFBBFB9}"/>
            </c:ext>
          </c:extLst>
        </c:ser>
        <c:ser>
          <c:idx val="2"/>
          <c:order val="2"/>
          <c:tx>
            <c:strRef>
              <c:f>Arkusz3!$N$12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Arkusz3!$O$9:$T$9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Arkusz3!$O$12:$T$12</c:f>
              <c:numCache>
                <c:formatCode>General</c:formatCode>
                <c:ptCount val="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A9-41BC-91D5-235C4DFBBFB9}"/>
            </c:ext>
          </c:extLst>
        </c:ser>
        <c:ser>
          <c:idx val="3"/>
          <c:order val="3"/>
          <c:tx>
            <c:strRef>
              <c:f>Arkusz3!$N$13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Arkusz3!$O$9:$T$9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Arkusz3!$O$13:$T$13</c:f>
              <c:numCache>
                <c:formatCode>General</c:formatCode>
                <c:ptCount val="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A9-41BC-91D5-235C4DFBBFB9}"/>
            </c:ext>
          </c:extLst>
        </c:ser>
        <c:ser>
          <c:idx val="4"/>
          <c:order val="4"/>
          <c:tx>
            <c:strRef>
              <c:f>Arkusz3!$N$14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Arkusz3!$O$9:$T$9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Arkusz3!$O$14:$T$14</c:f>
              <c:numCache>
                <c:formatCode>General</c:formatCode>
                <c:ptCount val="6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A9-41BC-91D5-235C4DFBBFB9}"/>
            </c:ext>
          </c:extLst>
        </c:ser>
        <c:ser>
          <c:idx val="5"/>
          <c:order val="5"/>
          <c:tx>
            <c:strRef>
              <c:f>Arkusz3!$N$15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Arkusz3!$O$9:$T$9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</c:numCache>
            </c:numRef>
          </c:cat>
          <c:val>
            <c:numRef>
              <c:f>Arkusz3!$O$15:$T$15</c:f>
              <c:numCache>
                <c:formatCode>General</c:formatCode>
                <c:ptCount val="6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A9-41BC-91D5-235C4DFBBFB9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19500384"/>
        <c:axId val="1919491744"/>
        <c:axId val="1785555840"/>
      </c:surface3DChart>
      <c:catAx>
        <c:axId val="191950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miejsca ładunkowego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491744"/>
        <c:crosses val="autoZero"/>
        <c:auto val="1"/>
        <c:lblAlgn val="ctr"/>
        <c:lblOffset val="100"/>
        <c:noMultiLvlLbl val="0"/>
      </c:catAx>
      <c:valAx>
        <c:axId val="19194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obliczeń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500384"/>
        <c:crosses val="autoZero"/>
        <c:crossBetween val="midCat"/>
      </c:valAx>
      <c:serAx>
        <c:axId val="1785555840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9491744"/>
        <c:crosses val="autoZero"/>
        <c:tickLblSkip val="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Histogram rozkładu błędu względnego algorytmu zachłannego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Arkusz4!$L$11:$L$15</c:f>
              <c:strCache>
                <c:ptCount val="5"/>
                <c:pt idx="0">
                  <c:v>0</c:v>
                </c:pt>
                <c:pt idx="1">
                  <c:v>0-5</c:v>
                </c:pt>
                <c:pt idx="2">
                  <c:v>5-10</c:v>
                </c:pt>
                <c:pt idx="3">
                  <c:v>10-20</c:v>
                </c:pt>
                <c:pt idx="4">
                  <c:v>&gt;20</c:v>
                </c:pt>
              </c:strCache>
            </c:strRef>
          </c:cat>
          <c:val>
            <c:numRef>
              <c:f>Arkusz4!$M$11:$M$15</c:f>
              <c:numCache>
                <c:formatCode>General</c:formatCode>
                <c:ptCount val="5"/>
                <c:pt idx="0">
                  <c:v>534</c:v>
                </c:pt>
                <c:pt idx="1">
                  <c:v>447</c:v>
                </c:pt>
                <c:pt idx="2">
                  <c:v>18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A-42AC-8999-94FEA928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13601264"/>
        <c:axId val="2013607984"/>
      </c:barChart>
      <c:catAx>
        <c:axId val="201360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przedział błędu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3607984"/>
        <c:crosses val="autoZero"/>
        <c:auto val="1"/>
        <c:lblAlgn val="ctr"/>
        <c:lblOffset val="100"/>
        <c:noMultiLvlLbl val="0"/>
      </c:catAx>
      <c:valAx>
        <c:axId val="20136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instancji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360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19</xdr:row>
      <xdr:rowOff>166687</xdr:rowOff>
    </xdr:from>
    <xdr:to>
      <xdr:col>13</xdr:col>
      <xdr:colOff>400050</xdr:colOff>
      <xdr:row>41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5A645E1-1E22-4C58-2A52-21F5B379E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319087</xdr:colOff>
      <xdr:row>24</xdr:row>
      <xdr:rowOff>166686</xdr:rowOff>
    </xdr:from>
    <xdr:to>
      <xdr:col>18</xdr:col>
      <xdr:colOff>0</xdr:colOff>
      <xdr:row>51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F0FF766-A72E-3D70-395F-BE483F750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8</xdr:row>
      <xdr:rowOff>190499</xdr:rowOff>
    </xdr:from>
    <xdr:to>
      <xdr:col>9</xdr:col>
      <xdr:colOff>533400</xdr:colOff>
      <xdr:row>29</xdr:row>
      <xdr:rowOff>142874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C87D96E-A52C-9621-0F83-8FFB4201B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466724</xdr:colOff>
      <xdr:row>30</xdr:row>
      <xdr:rowOff>19050</xdr:rowOff>
    </xdr:from>
    <xdr:to>
      <xdr:col>24</xdr:col>
      <xdr:colOff>361950</xdr:colOff>
      <xdr:row>49</xdr:row>
      <xdr:rowOff>152399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72110438-0981-03F5-4AA6-4D5E19DFD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114300</xdr:colOff>
      <xdr:row>2</xdr:row>
      <xdr:rowOff>109536</xdr:rowOff>
    </xdr:from>
    <xdr:to>
      <xdr:col>29</xdr:col>
      <xdr:colOff>352425</xdr:colOff>
      <xdr:row>23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C01044B-1B3F-0584-B301-027A1D5A3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16</xdr:row>
      <xdr:rowOff>109537</xdr:rowOff>
    </xdr:from>
    <xdr:to>
      <xdr:col>16</xdr:col>
      <xdr:colOff>409575</xdr:colOff>
      <xdr:row>30</xdr:row>
      <xdr:rowOff>185737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D1923E8-96CE-E27C-377A-773707282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B822-E66A-42C8-9511-5E398B3A1C57}">
  <dimension ref="A1:P27"/>
  <sheetViews>
    <sheetView workbookViewId="0">
      <selection activeCell="C30" sqref="C30"/>
    </sheetView>
  </sheetViews>
  <sheetFormatPr defaultRowHeight="15" x14ac:dyDescent="0.25"/>
  <cols>
    <col min="2" max="2" width="12.7109375" bestFit="1" customWidth="1"/>
    <col min="3" max="3" width="12.7109375" customWidth="1"/>
    <col min="4" max="4" width="12.42578125" bestFit="1" customWidth="1"/>
    <col min="5" max="5" width="12.42578125" customWidth="1"/>
    <col min="6" max="6" width="12.42578125" bestFit="1" customWidth="1"/>
    <col min="7" max="7" width="12.42578125" customWidth="1"/>
    <col min="8" max="8" width="12.140625" bestFit="1" customWidth="1"/>
    <col min="9" max="9" width="12.140625" customWidth="1"/>
    <col min="10" max="10" width="12.5703125" bestFit="1" customWidth="1"/>
    <col min="11" max="11" width="12.5703125" customWidth="1"/>
    <col min="12" max="12" width="12.28515625" bestFit="1" customWidth="1"/>
  </cols>
  <sheetData>
    <row r="1" spans="1:13" x14ac:dyDescent="0.25">
      <c r="A1" t="s">
        <v>2</v>
      </c>
      <c r="B1" t="s">
        <v>3</v>
      </c>
      <c r="C1" t="s">
        <v>28</v>
      </c>
      <c r="D1" t="s">
        <v>4</v>
      </c>
      <c r="E1" t="s">
        <v>29</v>
      </c>
      <c r="F1" t="s">
        <v>5</v>
      </c>
      <c r="G1" t="s">
        <v>30</v>
      </c>
      <c r="H1" t="s">
        <v>6</v>
      </c>
      <c r="I1" t="s">
        <v>31</v>
      </c>
      <c r="J1" t="s">
        <v>7</v>
      </c>
      <c r="K1" t="s">
        <v>32</v>
      </c>
      <c r="L1" t="s">
        <v>8</v>
      </c>
      <c r="M1" t="s">
        <v>33</v>
      </c>
    </row>
    <row r="2" spans="1:13" x14ac:dyDescent="0.25">
      <c r="A2">
        <v>10</v>
      </c>
      <c r="B2">
        <v>30000</v>
      </c>
      <c r="C2">
        <f>B2/1000000</f>
        <v>0.03</v>
      </c>
      <c r="D2">
        <v>2801</v>
      </c>
      <c r="E2">
        <f>D2/1000000</f>
        <v>2.8010000000000001E-3</v>
      </c>
      <c r="F2">
        <v>710</v>
      </c>
      <c r="G2">
        <f>F2/1000000</f>
        <v>7.1000000000000002E-4</v>
      </c>
      <c r="H2">
        <v>394</v>
      </c>
      <c r="I2">
        <f>H2/1000000</f>
        <v>3.9399999999999998E-4</v>
      </c>
      <c r="J2">
        <v>83400</v>
      </c>
      <c r="K2">
        <f>J2/1000000</f>
        <v>8.3400000000000002E-2</v>
      </c>
      <c r="L2">
        <v>1464</v>
      </c>
      <c r="M2">
        <f>L2/1000000</f>
        <v>1.464E-3</v>
      </c>
    </row>
    <row r="3" spans="1:13" x14ac:dyDescent="0.25">
      <c r="A3">
        <v>11</v>
      </c>
      <c r="B3">
        <v>31920</v>
      </c>
      <c r="C3">
        <f t="shared" ref="C3:C16" si="0">B3/1000000</f>
        <v>3.1919999999999997E-2</v>
      </c>
      <c r="D3">
        <v>781</v>
      </c>
      <c r="E3">
        <f t="shared" ref="E3:E16" si="1">D3/1000000</f>
        <v>7.8100000000000001E-4</v>
      </c>
      <c r="F3">
        <v>600</v>
      </c>
      <c r="G3">
        <f t="shared" ref="G3:G16" si="2">F3/1000000</f>
        <v>5.9999999999999995E-4</v>
      </c>
      <c r="H3">
        <v>77</v>
      </c>
      <c r="I3">
        <f t="shared" ref="I3:I16" si="3">H3/1000000</f>
        <v>7.7000000000000001E-5</v>
      </c>
      <c r="J3">
        <v>178480</v>
      </c>
      <c r="K3">
        <f t="shared" ref="K3:K16" si="4">J3/1000000</f>
        <v>0.17848</v>
      </c>
      <c r="L3">
        <v>2702</v>
      </c>
      <c r="M3">
        <f t="shared" ref="M3:M16" si="5">L3/1000000</f>
        <v>2.702E-3</v>
      </c>
    </row>
    <row r="4" spans="1:13" x14ac:dyDescent="0.25">
      <c r="A4">
        <v>12</v>
      </c>
      <c r="B4">
        <v>35270</v>
      </c>
      <c r="C4">
        <f t="shared" si="0"/>
        <v>3.5270000000000003E-2</v>
      </c>
      <c r="D4">
        <v>559</v>
      </c>
      <c r="E4">
        <f t="shared" si="1"/>
        <v>5.5900000000000004E-4</v>
      </c>
      <c r="F4">
        <v>660</v>
      </c>
      <c r="G4">
        <f t="shared" si="2"/>
        <v>6.6E-4</v>
      </c>
      <c r="H4">
        <v>156</v>
      </c>
      <c r="I4">
        <f t="shared" si="3"/>
        <v>1.56E-4</v>
      </c>
      <c r="J4">
        <v>380320</v>
      </c>
      <c r="K4">
        <f t="shared" si="4"/>
        <v>0.38031999999999999</v>
      </c>
      <c r="L4">
        <v>1882</v>
      </c>
      <c r="M4">
        <f t="shared" si="5"/>
        <v>1.882E-3</v>
      </c>
    </row>
    <row r="5" spans="1:13" x14ac:dyDescent="0.25">
      <c r="A5">
        <v>13</v>
      </c>
      <c r="B5">
        <v>38820</v>
      </c>
      <c r="C5">
        <f t="shared" si="0"/>
        <v>3.882E-2</v>
      </c>
      <c r="D5">
        <v>1801</v>
      </c>
      <c r="E5">
        <f t="shared" si="1"/>
        <v>1.8010000000000001E-3</v>
      </c>
      <c r="F5">
        <v>810</v>
      </c>
      <c r="G5">
        <f t="shared" si="2"/>
        <v>8.0999999999999996E-4</v>
      </c>
      <c r="H5">
        <v>270</v>
      </c>
      <c r="I5">
        <f t="shared" si="3"/>
        <v>2.7E-4</v>
      </c>
      <c r="J5">
        <v>826330</v>
      </c>
      <c r="K5">
        <f t="shared" si="4"/>
        <v>0.82633000000000001</v>
      </c>
      <c r="L5">
        <v>36240</v>
      </c>
      <c r="M5">
        <f t="shared" si="5"/>
        <v>3.6240000000000001E-2</v>
      </c>
    </row>
    <row r="6" spans="1:13" x14ac:dyDescent="0.25">
      <c r="A6">
        <v>14</v>
      </c>
      <c r="B6">
        <v>40770</v>
      </c>
      <c r="C6">
        <f t="shared" si="0"/>
        <v>4.0770000000000001E-2</v>
      </c>
      <c r="D6">
        <v>815</v>
      </c>
      <c r="E6">
        <f t="shared" si="1"/>
        <v>8.1499999999999997E-4</v>
      </c>
      <c r="F6">
        <v>830</v>
      </c>
      <c r="G6">
        <f t="shared" si="2"/>
        <v>8.3000000000000001E-4</v>
      </c>
      <c r="H6">
        <v>142</v>
      </c>
      <c r="I6">
        <f t="shared" si="3"/>
        <v>1.4200000000000001E-4</v>
      </c>
      <c r="J6">
        <v>1706630</v>
      </c>
      <c r="K6">
        <f t="shared" si="4"/>
        <v>1.7066300000000001</v>
      </c>
      <c r="L6">
        <v>19050</v>
      </c>
      <c r="M6">
        <f t="shared" si="5"/>
        <v>1.9050000000000001E-2</v>
      </c>
    </row>
    <row r="7" spans="1:13" x14ac:dyDescent="0.25">
      <c r="A7">
        <v>15</v>
      </c>
      <c r="B7">
        <v>43200</v>
      </c>
      <c r="C7">
        <f t="shared" si="0"/>
        <v>4.3200000000000002E-2</v>
      </c>
      <c r="D7">
        <v>663</v>
      </c>
      <c r="E7">
        <f t="shared" si="1"/>
        <v>6.6299999999999996E-4</v>
      </c>
      <c r="F7">
        <v>910</v>
      </c>
      <c r="G7">
        <f t="shared" si="2"/>
        <v>9.1E-4</v>
      </c>
      <c r="H7">
        <v>234</v>
      </c>
      <c r="I7">
        <f t="shared" si="3"/>
        <v>2.34E-4</v>
      </c>
      <c r="J7">
        <v>3603950</v>
      </c>
      <c r="K7">
        <f t="shared" si="4"/>
        <v>3.6039500000000002</v>
      </c>
      <c r="L7">
        <v>44528</v>
      </c>
      <c r="M7">
        <f t="shared" si="5"/>
        <v>4.4527999999999998E-2</v>
      </c>
    </row>
    <row r="8" spans="1:13" x14ac:dyDescent="0.25">
      <c r="A8">
        <v>16</v>
      </c>
      <c r="B8">
        <v>46270</v>
      </c>
      <c r="C8">
        <f t="shared" si="0"/>
        <v>4.6269999999999999E-2</v>
      </c>
      <c r="D8">
        <v>830</v>
      </c>
      <c r="E8">
        <f t="shared" si="1"/>
        <v>8.3000000000000001E-4</v>
      </c>
      <c r="F8">
        <v>890</v>
      </c>
      <c r="G8">
        <f t="shared" si="2"/>
        <v>8.8999999999999995E-4</v>
      </c>
      <c r="H8">
        <v>104</v>
      </c>
      <c r="I8">
        <f t="shared" si="3"/>
        <v>1.0399999999999999E-4</v>
      </c>
      <c r="J8">
        <v>7482180</v>
      </c>
      <c r="K8">
        <f t="shared" si="4"/>
        <v>7.4821799999999996</v>
      </c>
      <c r="L8">
        <v>34626</v>
      </c>
      <c r="M8">
        <f t="shared" si="5"/>
        <v>3.4625999999999997E-2</v>
      </c>
    </row>
    <row r="9" spans="1:13" x14ac:dyDescent="0.25">
      <c r="A9">
        <v>17</v>
      </c>
      <c r="B9">
        <v>49980</v>
      </c>
      <c r="C9">
        <f t="shared" si="0"/>
        <v>4.9979999999999997E-2</v>
      </c>
      <c r="D9">
        <v>2898</v>
      </c>
      <c r="E9">
        <f t="shared" si="1"/>
        <v>2.898E-3</v>
      </c>
      <c r="F9">
        <v>1370</v>
      </c>
      <c r="G9">
        <f t="shared" si="2"/>
        <v>1.3699999999999999E-3</v>
      </c>
      <c r="H9">
        <v>276</v>
      </c>
      <c r="I9">
        <f t="shared" si="3"/>
        <v>2.7599999999999999E-4</v>
      </c>
      <c r="J9">
        <v>15691970</v>
      </c>
      <c r="K9">
        <f t="shared" si="4"/>
        <v>15.69197</v>
      </c>
      <c r="L9">
        <v>113053</v>
      </c>
      <c r="M9">
        <f t="shared" si="5"/>
        <v>0.113053</v>
      </c>
    </row>
    <row r="10" spans="1:13" x14ac:dyDescent="0.25">
      <c r="A10">
        <v>18</v>
      </c>
      <c r="B10">
        <v>52840</v>
      </c>
      <c r="C10">
        <f t="shared" si="0"/>
        <v>5.2839999999999998E-2</v>
      </c>
      <c r="D10">
        <v>1084</v>
      </c>
      <c r="E10">
        <f t="shared" si="1"/>
        <v>1.0839999999999999E-3</v>
      </c>
      <c r="F10">
        <v>1460</v>
      </c>
      <c r="G10">
        <f t="shared" si="2"/>
        <v>1.4599999999999999E-3</v>
      </c>
      <c r="H10">
        <v>246</v>
      </c>
      <c r="I10">
        <f t="shared" si="3"/>
        <v>2.4600000000000002E-4</v>
      </c>
      <c r="J10">
        <v>32859600</v>
      </c>
      <c r="K10">
        <f t="shared" si="4"/>
        <v>32.8596</v>
      </c>
      <c r="L10">
        <v>234920</v>
      </c>
      <c r="M10">
        <f t="shared" si="5"/>
        <v>0.23491999999999999</v>
      </c>
    </row>
    <row r="11" spans="1:13" x14ac:dyDescent="0.25">
      <c r="A11">
        <v>19</v>
      </c>
      <c r="B11">
        <v>56570</v>
      </c>
      <c r="C11">
        <f t="shared" si="0"/>
        <v>5.6570000000000002E-2</v>
      </c>
      <c r="D11">
        <v>3755</v>
      </c>
      <c r="E11">
        <f t="shared" si="1"/>
        <v>3.7550000000000001E-3</v>
      </c>
      <c r="F11">
        <v>1600</v>
      </c>
      <c r="G11">
        <f t="shared" si="2"/>
        <v>1.6000000000000001E-3</v>
      </c>
      <c r="H11">
        <v>134</v>
      </c>
      <c r="I11">
        <f t="shared" si="3"/>
        <v>1.34E-4</v>
      </c>
      <c r="J11">
        <v>68244430</v>
      </c>
      <c r="K11">
        <f t="shared" si="4"/>
        <v>68.244429999999994</v>
      </c>
      <c r="L11">
        <v>381841</v>
      </c>
      <c r="M11">
        <f t="shared" si="5"/>
        <v>0.38184099999999999</v>
      </c>
    </row>
    <row r="12" spans="1:13" x14ac:dyDescent="0.25">
      <c r="A12">
        <v>20</v>
      </c>
      <c r="B12">
        <v>60320</v>
      </c>
      <c r="C12">
        <f t="shared" si="0"/>
        <v>6.0319999999999999E-2</v>
      </c>
      <c r="D12">
        <v>4287</v>
      </c>
      <c r="E12">
        <f t="shared" si="1"/>
        <v>4.287E-3</v>
      </c>
      <c r="F12">
        <v>1750</v>
      </c>
      <c r="G12">
        <f t="shared" si="2"/>
        <v>1.75E-3</v>
      </c>
      <c r="H12">
        <v>163</v>
      </c>
      <c r="I12">
        <f t="shared" si="3"/>
        <v>1.63E-4</v>
      </c>
      <c r="J12">
        <v>142492640</v>
      </c>
      <c r="K12">
        <f t="shared" si="4"/>
        <v>142.49263999999999</v>
      </c>
      <c r="L12">
        <v>1730962</v>
      </c>
      <c r="M12">
        <f t="shared" si="5"/>
        <v>1.7309619999999999</v>
      </c>
    </row>
    <row r="13" spans="1:13" x14ac:dyDescent="0.25">
      <c r="A13">
        <v>21</v>
      </c>
      <c r="B13">
        <v>60630</v>
      </c>
      <c r="C13">
        <f t="shared" si="0"/>
        <v>6.0630000000000003E-2</v>
      </c>
      <c r="D13">
        <v>1072</v>
      </c>
      <c r="E13">
        <f t="shared" si="1"/>
        <v>1.072E-3</v>
      </c>
      <c r="F13">
        <v>1840</v>
      </c>
      <c r="G13">
        <f t="shared" si="2"/>
        <v>1.8400000000000001E-3</v>
      </c>
      <c r="H13">
        <v>156</v>
      </c>
      <c r="I13">
        <f t="shared" si="3"/>
        <v>1.56E-4</v>
      </c>
      <c r="J13">
        <v>296259910</v>
      </c>
      <c r="K13">
        <f t="shared" si="4"/>
        <v>296.25990999999999</v>
      </c>
      <c r="L13">
        <v>3530245</v>
      </c>
      <c r="M13">
        <f t="shared" si="5"/>
        <v>3.5302449999999999</v>
      </c>
    </row>
    <row r="14" spans="1:13" x14ac:dyDescent="0.25">
      <c r="A14">
        <v>22</v>
      </c>
      <c r="B14">
        <v>65500</v>
      </c>
      <c r="C14">
        <f t="shared" si="0"/>
        <v>6.5500000000000003E-2</v>
      </c>
      <c r="D14">
        <v>4016</v>
      </c>
      <c r="E14">
        <f t="shared" si="1"/>
        <v>4.0159999999999996E-3</v>
      </c>
      <c r="F14">
        <v>1900</v>
      </c>
      <c r="G14">
        <f t="shared" si="2"/>
        <v>1.9E-3</v>
      </c>
      <c r="H14">
        <v>100</v>
      </c>
      <c r="I14">
        <f t="shared" si="3"/>
        <v>1E-4</v>
      </c>
      <c r="J14">
        <v>612889040</v>
      </c>
      <c r="K14">
        <f t="shared" si="4"/>
        <v>612.88904000000002</v>
      </c>
      <c r="L14">
        <v>2161300</v>
      </c>
      <c r="M14">
        <f t="shared" si="5"/>
        <v>2.1613000000000002</v>
      </c>
    </row>
    <row r="15" spans="1:13" x14ac:dyDescent="0.25">
      <c r="A15">
        <v>23</v>
      </c>
      <c r="B15">
        <v>67960</v>
      </c>
      <c r="C15">
        <f t="shared" si="0"/>
        <v>6.7960000000000007E-2</v>
      </c>
      <c r="D15">
        <v>3947</v>
      </c>
      <c r="E15">
        <f t="shared" si="1"/>
        <v>3.947E-3</v>
      </c>
      <c r="F15">
        <v>2140</v>
      </c>
      <c r="G15">
        <f t="shared" si="2"/>
        <v>2.14E-3</v>
      </c>
      <c r="H15">
        <v>185</v>
      </c>
      <c r="I15">
        <f t="shared" si="3"/>
        <v>1.85E-4</v>
      </c>
      <c r="J15">
        <v>1265953720</v>
      </c>
      <c r="K15">
        <f t="shared" si="4"/>
        <v>1265.95372</v>
      </c>
      <c r="L15">
        <v>4543572</v>
      </c>
      <c r="M15">
        <f t="shared" si="5"/>
        <v>4.5435720000000002</v>
      </c>
    </row>
    <row r="16" spans="1:13" x14ac:dyDescent="0.25">
      <c r="A16">
        <v>24</v>
      </c>
      <c r="B16">
        <v>69720</v>
      </c>
      <c r="C16">
        <f t="shared" si="0"/>
        <v>6.9720000000000004E-2</v>
      </c>
      <c r="D16">
        <v>915</v>
      </c>
      <c r="E16">
        <f t="shared" si="1"/>
        <v>9.1500000000000001E-4</v>
      </c>
      <c r="F16">
        <v>2040</v>
      </c>
      <c r="G16">
        <f t="shared" si="2"/>
        <v>2.0400000000000001E-3</v>
      </c>
      <c r="H16">
        <v>120</v>
      </c>
      <c r="I16">
        <f t="shared" si="3"/>
        <v>1.2E-4</v>
      </c>
      <c r="J16">
        <v>2627480140</v>
      </c>
      <c r="K16">
        <f t="shared" si="4"/>
        <v>2627.4801400000001</v>
      </c>
      <c r="L16">
        <v>21704269</v>
      </c>
      <c r="M16">
        <f t="shared" si="5"/>
        <v>21.704269</v>
      </c>
    </row>
    <row r="26" spans="16:16" x14ac:dyDescent="0.25">
      <c r="P26" t="s">
        <v>0</v>
      </c>
    </row>
    <row r="27" spans="16:16" x14ac:dyDescent="0.25">
      <c r="P27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847D-1930-4301-A627-33209913E58D}">
  <dimension ref="A1:P42"/>
  <sheetViews>
    <sheetView workbookViewId="0">
      <selection activeCell="A26" sqref="A26:C41"/>
    </sheetView>
  </sheetViews>
  <sheetFormatPr defaultRowHeight="15" x14ac:dyDescent="0.25"/>
  <sheetData>
    <row r="1" spans="1:16" x14ac:dyDescent="0.25">
      <c r="A1" t="s">
        <v>2</v>
      </c>
      <c r="B1" t="s">
        <v>30</v>
      </c>
      <c r="C1" t="s">
        <v>31</v>
      </c>
    </row>
    <row r="2" spans="1:16" x14ac:dyDescent="0.25">
      <c r="A2">
        <v>10</v>
      </c>
      <c r="B2">
        <v>7.1000000000000002E-4</v>
      </c>
      <c r="C2">
        <v>3.9399999999999998E-4</v>
      </c>
    </row>
    <row r="3" spans="1:16" x14ac:dyDescent="0.25">
      <c r="A3">
        <v>11</v>
      </c>
      <c r="B3">
        <v>5.9999999999999995E-4</v>
      </c>
      <c r="C3">
        <v>7.7000000000000001E-5</v>
      </c>
    </row>
    <row r="4" spans="1:16" x14ac:dyDescent="0.25">
      <c r="A4">
        <v>12</v>
      </c>
      <c r="B4">
        <v>6.6E-4</v>
      </c>
      <c r="C4">
        <v>1.56E-4</v>
      </c>
    </row>
    <row r="5" spans="1:16" x14ac:dyDescent="0.25">
      <c r="A5">
        <v>13</v>
      </c>
      <c r="B5">
        <v>8.0999999999999996E-4</v>
      </c>
      <c r="C5">
        <v>2.7E-4</v>
      </c>
      <c r="N5" t="s">
        <v>9</v>
      </c>
      <c r="O5" t="s">
        <v>34</v>
      </c>
      <c r="P5" t="s">
        <v>38</v>
      </c>
    </row>
    <row r="6" spans="1:16" x14ac:dyDescent="0.25">
      <c r="A6">
        <v>14</v>
      </c>
      <c r="B6">
        <v>8.3000000000000001E-4</v>
      </c>
      <c r="C6">
        <v>1.4200000000000001E-4</v>
      </c>
      <c r="N6">
        <v>20</v>
      </c>
      <c r="O6">
        <v>1.306E-2</v>
      </c>
      <c r="P6">
        <v>8.6700000000000004E-4</v>
      </c>
    </row>
    <row r="7" spans="1:16" x14ac:dyDescent="0.25">
      <c r="A7">
        <v>15</v>
      </c>
      <c r="B7">
        <v>9.1E-4</v>
      </c>
      <c r="C7">
        <v>2.34E-4</v>
      </c>
      <c r="N7">
        <v>40</v>
      </c>
      <c r="O7">
        <v>2.427E-2</v>
      </c>
      <c r="P7">
        <v>5.3300000000000005E-4</v>
      </c>
    </row>
    <row r="8" spans="1:16" x14ac:dyDescent="0.25">
      <c r="A8">
        <v>16</v>
      </c>
      <c r="B8">
        <v>8.8999999999999995E-4</v>
      </c>
      <c r="C8">
        <v>1.0399999999999999E-4</v>
      </c>
      <c r="N8">
        <v>60</v>
      </c>
      <c r="O8">
        <v>3.6560000000000002E-2</v>
      </c>
      <c r="P8">
        <v>3.241E-3</v>
      </c>
    </row>
    <row r="9" spans="1:16" x14ac:dyDescent="0.25">
      <c r="A9">
        <v>17</v>
      </c>
      <c r="B9">
        <v>1.3699999999999999E-3</v>
      </c>
      <c r="C9">
        <v>2.7599999999999999E-4</v>
      </c>
      <c r="N9">
        <v>80</v>
      </c>
      <c r="O9">
        <v>4.7239999999999997E-2</v>
      </c>
      <c r="P9">
        <v>5.4100000000000003E-4</v>
      </c>
    </row>
    <row r="10" spans="1:16" x14ac:dyDescent="0.25">
      <c r="A10">
        <v>18</v>
      </c>
      <c r="B10">
        <v>1.4599999999999999E-3</v>
      </c>
      <c r="C10">
        <v>2.4600000000000002E-4</v>
      </c>
      <c r="N10">
        <v>100</v>
      </c>
      <c r="O10">
        <v>5.8869999999999999E-2</v>
      </c>
      <c r="P10">
        <v>1.627E-3</v>
      </c>
    </row>
    <row r="11" spans="1:16" x14ac:dyDescent="0.25">
      <c r="A11">
        <v>19</v>
      </c>
      <c r="B11">
        <v>1.6000000000000001E-3</v>
      </c>
      <c r="C11">
        <v>1.34E-4</v>
      </c>
      <c r="N11">
        <v>120</v>
      </c>
      <c r="O11">
        <v>7.0790000000000006E-2</v>
      </c>
      <c r="P11">
        <v>4.5180000000000003E-3</v>
      </c>
    </row>
    <row r="12" spans="1:16" x14ac:dyDescent="0.25">
      <c r="A12">
        <v>20</v>
      </c>
      <c r="B12">
        <v>1.75E-3</v>
      </c>
      <c r="C12">
        <v>1.63E-4</v>
      </c>
      <c r="N12">
        <v>140</v>
      </c>
      <c r="O12">
        <v>8.1040000000000001E-2</v>
      </c>
      <c r="P12">
        <v>2.5100000000000001E-3</v>
      </c>
    </row>
    <row r="13" spans="1:16" x14ac:dyDescent="0.25">
      <c r="A13">
        <v>21</v>
      </c>
      <c r="B13">
        <v>1.8400000000000001E-3</v>
      </c>
      <c r="C13">
        <v>1.56E-4</v>
      </c>
      <c r="N13">
        <v>160</v>
      </c>
      <c r="O13">
        <v>9.5350000000000004E-2</v>
      </c>
      <c r="P13">
        <v>4.8719999999999996E-3</v>
      </c>
    </row>
    <row r="14" spans="1:16" x14ac:dyDescent="0.25">
      <c r="A14">
        <v>22</v>
      </c>
      <c r="B14">
        <v>1.9E-3</v>
      </c>
      <c r="C14">
        <v>1E-4</v>
      </c>
      <c r="N14">
        <v>180</v>
      </c>
      <c r="O14">
        <v>0.10859000000000001</v>
      </c>
      <c r="P14">
        <v>7.0520000000000001E-3</v>
      </c>
    </row>
    <row r="15" spans="1:16" x14ac:dyDescent="0.25">
      <c r="A15">
        <v>23</v>
      </c>
      <c r="B15">
        <v>2.14E-3</v>
      </c>
      <c r="C15">
        <v>1.85E-4</v>
      </c>
      <c r="N15">
        <v>200</v>
      </c>
      <c r="O15">
        <v>0.11826</v>
      </c>
      <c r="P15">
        <v>2.797E-3</v>
      </c>
    </row>
    <row r="16" spans="1:16" x14ac:dyDescent="0.25">
      <c r="A16">
        <v>24</v>
      </c>
      <c r="B16">
        <v>2.0400000000000001E-3</v>
      </c>
      <c r="C16">
        <v>1.2E-4</v>
      </c>
      <c r="N16">
        <v>220</v>
      </c>
      <c r="O16">
        <v>0.13128000000000001</v>
      </c>
      <c r="P16">
        <v>7.4999999999999997E-3</v>
      </c>
    </row>
    <row r="17" spans="1:16" x14ac:dyDescent="0.25">
      <c r="N17">
        <v>240</v>
      </c>
      <c r="O17">
        <v>0.13994000000000001</v>
      </c>
      <c r="P17">
        <v>2.2690000000000002E-3</v>
      </c>
    </row>
    <row r="18" spans="1:16" x14ac:dyDescent="0.25">
      <c r="G18" t="s">
        <v>2</v>
      </c>
      <c r="H18" t="s">
        <v>32</v>
      </c>
      <c r="I18" t="s">
        <v>33</v>
      </c>
      <c r="N18">
        <v>260</v>
      </c>
      <c r="O18">
        <v>0.15679000000000001</v>
      </c>
      <c r="P18">
        <v>1.2359999999999999E-2</v>
      </c>
    </row>
    <row r="19" spans="1:16" x14ac:dyDescent="0.25">
      <c r="G19">
        <v>10</v>
      </c>
      <c r="H19">
        <v>8.3400000000000002E-2</v>
      </c>
      <c r="I19">
        <v>1.464E-3</v>
      </c>
      <c r="N19">
        <v>280</v>
      </c>
      <c r="O19">
        <v>0.16553999999999999</v>
      </c>
      <c r="P19">
        <v>5.0549999999999996E-3</v>
      </c>
    </row>
    <row r="20" spans="1:16" x14ac:dyDescent="0.25">
      <c r="G20">
        <v>11</v>
      </c>
      <c r="H20">
        <v>0.17848</v>
      </c>
      <c r="I20">
        <v>2.702E-3</v>
      </c>
      <c r="N20">
        <v>300</v>
      </c>
      <c r="O20">
        <v>0.17960000000000001</v>
      </c>
      <c r="P20">
        <v>1.17E-2</v>
      </c>
    </row>
    <row r="21" spans="1:16" x14ac:dyDescent="0.25">
      <c r="G21">
        <v>12</v>
      </c>
      <c r="H21">
        <v>0.38031999999999999</v>
      </c>
      <c r="I21">
        <v>1.882E-3</v>
      </c>
    </row>
    <row r="22" spans="1:16" x14ac:dyDescent="0.25">
      <c r="G22">
        <v>13</v>
      </c>
      <c r="H22">
        <v>0.82633000000000001</v>
      </c>
      <c r="I22">
        <v>3.6240000000000001E-2</v>
      </c>
    </row>
    <row r="23" spans="1:16" x14ac:dyDescent="0.25">
      <c r="G23">
        <v>14</v>
      </c>
      <c r="H23">
        <v>1.7066300000000001</v>
      </c>
      <c r="I23">
        <v>1.9050000000000001E-2</v>
      </c>
    </row>
    <row r="24" spans="1:16" x14ac:dyDescent="0.25">
      <c r="G24">
        <v>15</v>
      </c>
      <c r="H24">
        <v>3.6039500000000002</v>
      </c>
      <c r="I24">
        <v>4.4527999999999998E-2</v>
      </c>
    </row>
    <row r="25" spans="1:16" x14ac:dyDescent="0.25">
      <c r="G25">
        <v>16</v>
      </c>
      <c r="H25">
        <v>7.4821799999999996</v>
      </c>
      <c r="I25">
        <v>3.4625999999999997E-2</v>
      </c>
    </row>
    <row r="26" spans="1:16" x14ac:dyDescent="0.25">
      <c r="A26" t="s">
        <v>9</v>
      </c>
      <c r="B26" t="s">
        <v>36</v>
      </c>
      <c r="C26" t="s">
        <v>37</v>
      </c>
      <c r="G26">
        <v>17</v>
      </c>
      <c r="H26">
        <v>15.69197</v>
      </c>
      <c r="I26">
        <v>0.113053</v>
      </c>
    </row>
    <row r="27" spans="1:16" x14ac:dyDescent="0.25">
      <c r="A27">
        <v>20</v>
      </c>
      <c r="B27">
        <v>142.40120999999999</v>
      </c>
      <c r="C27">
        <v>1.058047</v>
      </c>
      <c r="G27">
        <v>18</v>
      </c>
      <c r="H27">
        <v>32.8596</v>
      </c>
      <c r="I27">
        <v>0.23491999999999999</v>
      </c>
      <c r="M27" t="s">
        <v>9</v>
      </c>
      <c r="N27" t="s">
        <v>30</v>
      </c>
      <c r="O27" t="s">
        <v>31</v>
      </c>
    </row>
    <row r="28" spans="1:16" x14ac:dyDescent="0.25">
      <c r="A28">
        <v>40</v>
      </c>
      <c r="B28">
        <v>143.50169</v>
      </c>
      <c r="C28">
        <v>1.427983</v>
      </c>
      <c r="G28">
        <v>19</v>
      </c>
      <c r="H28">
        <v>68.244429999999994</v>
      </c>
      <c r="I28">
        <v>0.38184099999999999</v>
      </c>
      <c r="M28">
        <v>20</v>
      </c>
      <c r="N28">
        <v>1.81E-3</v>
      </c>
      <c r="O28">
        <v>2.3900000000000001E-4</v>
      </c>
    </row>
    <row r="29" spans="1:16" x14ac:dyDescent="0.25">
      <c r="A29">
        <v>60</v>
      </c>
      <c r="B29">
        <v>142.46451999999999</v>
      </c>
      <c r="C29">
        <v>0.69686800000000004</v>
      </c>
      <c r="G29">
        <v>20</v>
      </c>
      <c r="H29">
        <v>142.49263999999999</v>
      </c>
      <c r="I29">
        <v>1.7309619999999999</v>
      </c>
      <c r="M29">
        <v>40</v>
      </c>
      <c r="N29">
        <v>1.66E-3</v>
      </c>
      <c r="O29">
        <v>1.6899999999999999E-4</v>
      </c>
    </row>
    <row r="30" spans="1:16" x14ac:dyDescent="0.25">
      <c r="A30">
        <v>80</v>
      </c>
      <c r="B30">
        <v>143.20477</v>
      </c>
      <c r="C30">
        <v>0.17844099999999999</v>
      </c>
      <c r="G30">
        <v>21</v>
      </c>
      <c r="H30">
        <v>296.25990999999999</v>
      </c>
      <c r="I30">
        <v>3.5302449999999999</v>
      </c>
      <c r="M30">
        <v>60</v>
      </c>
      <c r="N30">
        <v>1.7700000000000001E-3</v>
      </c>
      <c r="O30">
        <v>1.85E-4</v>
      </c>
    </row>
    <row r="31" spans="1:16" x14ac:dyDescent="0.25">
      <c r="A31">
        <v>100</v>
      </c>
      <c r="B31">
        <v>144.16629</v>
      </c>
      <c r="C31">
        <v>0.77667299999999995</v>
      </c>
      <c r="G31">
        <v>22</v>
      </c>
      <c r="H31">
        <v>612.88904000000002</v>
      </c>
      <c r="I31">
        <v>2.1613000000000002</v>
      </c>
      <c r="M31">
        <v>80</v>
      </c>
      <c r="N31">
        <v>1.81E-3</v>
      </c>
      <c r="O31">
        <v>1.37E-4</v>
      </c>
    </row>
    <row r="32" spans="1:16" x14ac:dyDescent="0.25">
      <c r="A32">
        <v>120</v>
      </c>
      <c r="B32">
        <v>144.00418999999999</v>
      </c>
      <c r="C32">
        <v>1.930679</v>
      </c>
      <c r="G32">
        <v>23</v>
      </c>
      <c r="H32">
        <v>1265.95372</v>
      </c>
      <c r="I32">
        <v>4.5435720000000002</v>
      </c>
      <c r="M32">
        <v>100</v>
      </c>
      <c r="N32">
        <v>1.8699999999999999E-3</v>
      </c>
      <c r="O32">
        <v>2.05E-4</v>
      </c>
    </row>
    <row r="33" spans="1:15" x14ac:dyDescent="0.25">
      <c r="A33">
        <v>140</v>
      </c>
      <c r="B33">
        <v>142.96399</v>
      </c>
      <c r="C33">
        <v>0.48105399999999998</v>
      </c>
      <c r="G33">
        <v>24</v>
      </c>
      <c r="H33">
        <v>2627.4801400000001</v>
      </c>
      <c r="I33">
        <v>21.704269</v>
      </c>
      <c r="M33">
        <v>120</v>
      </c>
      <c r="N33">
        <v>1.8500000000000001E-3</v>
      </c>
      <c r="O33">
        <v>2.0599999999999999E-4</v>
      </c>
    </row>
    <row r="34" spans="1:15" x14ac:dyDescent="0.25">
      <c r="A34">
        <v>160</v>
      </c>
      <c r="B34">
        <v>144.35045</v>
      </c>
      <c r="C34">
        <v>1.0928070000000001</v>
      </c>
      <c r="M34">
        <v>140</v>
      </c>
      <c r="N34">
        <v>1.8E-3</v>
      </c>
      <c r="O34">
        <v>1E-4</v>
      </c>
    </row>
    <row r="35" spans="1:15" x14ac:dyDescent="0.25">
      <c r="A35">
        <v>180</v>
      </c>
      <c r="B35">
        <v>145.96609000000001</v>
      </c>
      <c r="C35">
        <v>0.51471800000000001</v>
      </c>
      <c r="M35">
        <v>160</v>
      </c>
      <c r="N35">
        <v>1.8600000000000001E-3</v>
      </c>
      <c r="O35">
        <v>1.8000000000000001E-4</v>
      </c>
    </row>
    <row r="36" spans="1:15" x14ac:dyDescent="0.25">
      <c r="A36">
        <v>200</v>
      </c>
      <c r="B36">
        <v>145.89324999999999</v>
      </c>
      <c r="C36">
        <v>1.6360079999999999</v>
      </c>
      <c r="M36">
        <v>180</v>
      </c>
      <c r="N36">
        <v>1.98E-3</v>
      </c>
      <c r="O36">
        <v>1.7200000000000001E-4</v>
      </c>
    </row>
    <row r="37" spans="1:15" x14ac:dyDescent="0.25">
      <c r="A37">
        <v>220</v>
      </c>
      <c r="B37">
        <v>145.93288999999999</v>
      </c>
      <c r="C37">
        <v>0.97491399999999995</v>
      </c>
      <c r="M37">
        <v>200</v>
      </c>
      <c r="N37">
        <v>1.8600000000000001E-3</v>
      </c>
      <c r="O37">
        <v>1.36E-4</v>
      </c>
    </row>
    <row r="38" spans="1:15" x14ac:dyDescent="0.25">
      <c r="A38">
        <v>240</v>
      </c>
      <c r="B38">
        <v>145.88480000000001</v>
      </c>
      <c r="C38">
        <v>0.54588999999999999</v>
      </c>
      <c r="M38">
        <v>220</v>
      </c>
      <c r="N38">
        <v>1.91E-3</v>
      </c>
      <c r="O38">
        <v>1.2999999999999999E-4</v>
      </c>
    </row>
    <row r="39" spans="1:15" x14ac:dyDescent="0.25">
      <c r="A39">
        <v>260</v>
      </c>
      <c r="B39">
        <v>145.90765999999999</v>
      </c>
      <c r="C39">
        <v>0.542597</v>
      </c>
      <c r="M39">
        <v>240</v>
      </c>
      <c r="N39">
        <v>1.81E-3</v>
      </c>
      <c r="O39">
        <v>1.76E-4</v>
      </c>
    </row>
    <row r="40" spans="1:15" x14ac:dyDescent="0.25">
      <c r="A40">
        <v>280</v>
      </c>
      <c r="B40">
        <v>147.1123</v>
      </c>
      <c r="C40">
        <v>1.1379760000000001</v>
      </c>
      <c r="M40">
        <v>260</v>
      </c>
      <c r="N40">
        <v>1.92E-3</v>
      </c>
      <c r="O40">
        <v>1.08E-4</v>
      </c>
    </row>
    <row r="41" spans="1:15" x14ac:dyDescent="0.25">
      <c r="A41">
        <v>300</v>
      </c>
      <c r="B41">
        <v>147.12545</v>
      </c>
      <c r="C41">
        <v>0.89400100000000005</v>
      </c>
      <c r="M41">
        <v>280</v>
      </c>
      <c r="N41">
        <v>1.89E-3</v>
      </c>
      <c r="O41">
        <v>1.5799999999999999E-4</v>
      </c>
    </row>
    <row r="42" spans="1:15" x14ac:dyDescent="0.25">
      <c r="M42">
        <v>300</v>
      </c>
      <c r="N42">
        <v>1.9400000000000001E-3</v>
      </c>
      <c r="O42">
        <v>1.8000000000000001E-4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EDFD-3134-490F-B23B-A7A05A3D970A}">
  <dimension ref="A1:M24"/>
  <sheetViews>
    <sheetView topLeftCell="A19" workbookViewId="0">
      <selection activeCell="M1" activeCellId="2" sqref="A1:A16 K1:K16 M1:M16"/>
    </sheetView>
  </sheetViews>
  <sheetFormatPr defaultRowHeight="15" x14ac:dyDescent="0.25"/>
  <cols>
    <col min="1" max="1" width="8.85546875" customWidth="1"/>
    <col min="2" max="2" width="12.7109375" bestFit="1" customWidth="1"/>
    <col min="3" max="3" width="12.7109375" customWidth="1"/>
    <col min="4" max="4" width="12.42578125" bestFit="1" customWidth="1"/>
    <col min="5" max="5" width="12.42578125" customWidth="1"/>
    <col min="6" max="6" width="12.42578125" bestFit="1" customWidth="1"/>
    <col min="7" max="7" width="12.42578125" customWidth="1"/>
    <col min="8" max="8" width="12.140625" bestFit="1" customWidth="1"/>
    <col min="9" max="9" width="12.140625" customWidth="1"/>
    <col min="10" max="10" width="12.5703125" bestFit="1" customWidth="1"/>
    <col min="11" max="11" width="12.5703125" customWidth="1"/>
    <col min="12" max="12" width="12.28515625" bestFit="1" customWidth="1"/>
  </cols>
  <sheetData>
    <row r="1" spans="1:13" x14ac:dyDescent="0.25">
      <c r="A1" t="s">
        <v>9</v>
      </c>
      <c r="B1" t="s">
        <v>3</v>
      </c>
      <c r="C1" t="s">
        <v>34</v>
      </c>
      <c r="D1" t="s">
        <v>4</v>
      </c>
      <c r="E1" t="s">
        <v>35</v>
      </c>
      <c r="F1" t="s">
        <v>5</v>
      </c>
      <c r="G1" t="s">
        <v>30</v>
      </c>
      <c r="H1" t="s">
        <v>6</v>
      </c>
      <c r="I1" t="s">
        <v>31</v>
      </c>
      <c r="J1" t="s">
        <v>7</v>
      </c>
      <c r="K1" t="s">
        <v>36</v>
      </c>
      <c r="L1" t="s">
        <v>8</v>
      </c>
      <c r="M1" t="s">
        <v>37</v>
      </c>
    </row>
    <row r="2" spans="1:13" x14ac:dyDescent="0.25">
      <c r="A2">
        <v>20</v>
      </c>
      <c r="B2">
        <v>13060</v>
      </c>
      <c r="C2">
        <f>B2/1000000</f>
        <v>1.306E-2</v>
      </c>
      <c r="D2">
        <v>867</v>
      </c>
      <c r="E2">
        <f>D2/1000000</f>
        <v>8.6700000000000004E-4</v>
      </c>
      <c r="F2">
        <v>1810</v>
      </c>
      <c r="G2">
        <f>F2/1000000</f>
        <v>1.81E-3</v>
      </c>
      <c r="H2">
        <v>239</v>
      </c>
      <c r="I2">
        <f>H2/1000000</f>
        <v>2.3900000000000001E-4</v>
      </c>
      <c r="J2">
        <v>142401210</v>
      </c>
      <c r="K2">
        <f>J2/1000000</f>
        <v>142.40120999999999</v>
      </c>
      <c r="L2">
        <v>1058047</v>
      </c>
      <c r="M2">
        <f>L2/1000000</f>
        <v>1.058047</v>
      </c>
    </row>
    <row r="3" spans="1:13" x14ac:dyDescent="0.25">
      <c r="A3">
        <v>40</v>
      </c>
      <c r="B3">
        <v>24270</v>
      </c>
      <c r="C3">
        <f t="shared" ref="C3:C16" si="0">B3/1000000</f>
        <v>2.427E-2</v>
      </c>
      <c r="D3">
        <v>533</v>
      </c>
      <c r="E3">
        <f t="shared" ref="E3:E16" si="1">D3/1000000</f>
        <v>5.3300000000000005E-4</v>
      </c>
      <c r="F3">
        <v>1660</v>
      </c>
      <c r="G3">
        <f t="shared" ref="G3:G16" si="2">F3/1000000</f>
        <v>1.66E-3</v>
      </c>
      <c r="H3">
        <v>169</v>
      </c>
      <c r="I3">
        <f t="shared" ref="I3:I16" si="3">H3/1000000</f>
        <v>1.6899999999999999E-4</v>
      </c>
      <c r="J3">
        <v>143501690</v>
      </c>
      <c r="K3">
        <f t="shared" ref="K3:K16" si="4">J3/1000000</f>
        <v>143.50169</v>
      </c>
      <c r="L3">
        <v>1427983</v>
      </c>
      <c r="M3">
        <f t="shared" ref="M3:M16" si="5">L3/1000000</f>
        <v>1.427983</v>
      </c>
    </row>
    <row r="4" spans="1:13" x14ac:dyDescent="0.25">
      <c r="A4">
        <v>60</v>
      </c>
      <c r="B4">
        <v>36560</v>
      </c>
      <c r="C4">
        <f t="shared" si="0"/>
        <v>3.6560000000000002E-2</v>
      </c>
      <c r="D4">
        <v>3241</v>
      </c>
      <c r="E4">
        <f t="shared" si="1"/>
        <v>3.241E-3</v>
      </c>
      <c r="F4">
        <v>1770</v>
      </c>
      <c r="G4">
        <f t="shared" si="2"/>
        <v>1.7700000000000001E-3</v>
      </c>
      <c r="H4">
        <v>185</v>
      </c>
      <c r="I4">
        <f t="shared" si="3"/>
        <v>1.85E-4</v>
      </c>
      <c r="J4">
        <v>142464520</v>
      </c>
      <c r="K4">
        <f t="shared" si="4"/>
        <v>142.46451999999999</v>
      </c>
      <c r="L4">
        <v>696868</v>
      </c>
      <c r="M4">
        <f t="shared" si="5"/>
        <v>0.69686800000000004</v>
      </c>
    </row>
    <row r="5" spans="1:13" x14ac:dyDescent="0.25">
      <c r="A5">
        <v>80</v>
      </c>
      <c r="B5">
        <v>47240</v>
      </c>
      <c r="C5">
        <f t="shared" si="0"/>
        <v>4.7239999999999997E-2</v>
      </c>
      <c r="D5">
        <v>541</v>
      </c>
      <c r="E5">
        <f t="shared" si="1"/>
        <v>5.4100000000000003E-4</v>
      </c>
      <c r="F5">
        <v>1810</v>
      </c>
      <c r="G5">
        <f t="shared" si="2"/>
        <v>1.81E-3</v>
      </c>
      <c r="H5">
        <v>137</v>
      </c>
      <c r="I5">
        <f t="shared" si="3"/>
        <v>1.37E-4</v>
      </c>
      <c r="J5">
        <v>143204770</v>
      </c>
      <c r="K5">
        <f t="shared" si="4"/>
        <v>143.20477</v>
      </c>
      <c r="L5">
        <v>178441</v>
      </c>
      <c r="M5">
        <f t="shared" si="5"/>
        <v>0.17844099999999999</v>
      </c>
    </row>
    <row r="6" spans="1:13" x14ac:dyDescent="0.25">
      <c r="A6">
        <v>100</v>
      </c>
      <c r="B6">
        <v>58870</v>
      </c>
      <c r="C6">
        <f t="shared" si="0"/>
        <v>5.8869999999999999E-2</v>
      </c>
      <c r="D6">
        <v>1627</v>
      </c>
      <c r="E6">
        <f t="shared" si="1"/>
        <v>1.627E-3</v>
      </c>
      <c r="F6">
        <v>1870</v>
      </c>
      <c r="G6">
        <f t="shared" si="2"/>
        <v>1.8699999999999999E-3</v>
      </c>
      <c r="H6">
        <v>205</v>
      </c>
      <c r="I6">
        <f t="shared" si="3"/>
        <v>2.05E-4</v>
      </c>
      <c r="J6">
        <v>144166290</v>
      </c>
      <c r="K6">
        <f t="shared" si="4"/>
        <v>144.16629</v>
      </c>
      <c r="L6">
        <v>776673</v>
      </c>
      <c r="M6">
        <f t="shared" si="5"/>
        <v>0.77667299999999995</v>
      </c>
    </row>
    <row r="7" spans="1:13" x14ac:dyDescent="0.25">
      <c r="A7">
        <v>120</v>
      </c>
      <c r="B7">
        <v>70790</v>
      </c>
      <c r="C7">
        <f t="shared" si="0"/>
        <v>7.0790000000000006E-2</v>
      </c>
      <c r="D7">
        <v>4518</v>
      </c>
      <c r="E7">
        <f t="shared" si="1"/>
        <v>4.5180000000000003E-3</v>
      </c>
      <c r="F7">
        <v>1850</v>
      </c>
      <c r="G7">
        <f t="shared" si="2"/>
        <v>1.8500000000000001E-3</v>
      </c>
      <c r="H7">
        <v>206</v>
      </c>
      <c r="I7">
        <f t="shared" si="3"/>
        <v>2.0599999999999999E-4</v>
      </c>
      <c r="J7">
        <v>144004190</v>
      </c>
      <c r="K7">
        <f t="shared" si="4"/>
        <v>144.00418999999999</v>
      </c>
      <c r="L7">
        <v>1930679</v>
      </c>
      <c r="M7">
        <f t="shared" si="5"/>
        <v>1.930679</v>
      </c>
    </row>
    <row r="8" spans="1:13" x14ac:dyDescent="0.25">
      <c r="A8">
        <v>140</v>
      </c>
      <c r="B8">
        <v>81040</v>
      </c>
      <c r="C8">
        <f t="shared" si="0"/>
        <v>8.1040000000000001E-2</v>
      </c>
      <c r="D8">
        <v>2510</v>
      </c>
      <c r="E8">
        <f t="shared" si="1"/>
        <v>2.5100000000000001E-3</v>
      </c>
      <c r="F8">
        <v>1800</v>
      </c>
      <c r="G8">
        <f t="shared" si="2"/>
        <v>1.8E-3</v>
      </c>
      <c r="H8">
        <v>100</v>
      </c>
      <c r="I8">
        <f t="shared" si="3"/>
        <v>1E-4</v>
      </c>
      <c r="J8">
        <v>142963990</v>
      </c>
      <c r="K8">
        <f t="shared" si="4"/>
        <v>142.96399</v>
      </c>
      <c r="L8">
        <v>481054</v>
      </c>
      <c r="M8">
        <f t="shared" si="5"/>
        <v>0.48105399999999998</v>
      </c>
    </row>
    <row r="9" spans="1:13" x14ac:dyDescent="0.25">
      <c r="A9">
        <v>160</v>
      </c>
      <c r="B9">
        <v>95350</v>
      </c>
      <c r="C9">
        <f t="shared" si="0"/>
        <v>9.5350000000000004E-2</v>
      </c>
      <c r="D9">
        <v>4872</v>
      </c>
      <c r="E9">
        <f t="shared" si="1"/>
        <v>4.8719999999999996E-3</v>
      </c>
      <c r="F9">
        <v>1860</v>
      </c>
      <c r="G9">
        <f t="shared" si="2"/>
        <v>1.8600000000000001E-3</v>
      </c>
      <c r="H9">
        <v>180</v>
      </c>
      <c r="I9">
        <f t="shared" si="3"/>
        <v>1.8000000000000001E-4</v>
      </c>
      <c r="J9">
        <v>144350450</v>
      </c>
      <c r="K9">
        <f t="shared" si="4"/>
        <v>144.35045</v>
      </c>
      <c r="L9">
        <v>1092807</v>
      </c>
      <c r="M9">
        <f t="shared" si="5"/>
        <v>1.0928070000000001</v>
      </c>
    </row>
    <row r="10" spans="1:13" x14ac:dyDescent="0.25">
      <c r="A10">
        <v>180</v>
      </c>
      <c r="B10">
        <v>108590</v>
      </c>
      <c r="C10">
        <f t="shared" si="0"/>
        <v>0.10859000000000001</v>
      </c>
      <c r="D10">
        <v>7052</v>
      </c>
      <c r="E10">
        <f t="shared" si="1"/>
        <v>7.0520000000000001E-3</v>
      </c>
      <c r="F10">
        <v>1980</v>
      </c>
      <c r="G10">
        <f t="shared" si="2"/>
        <v>1.98E-3</v>
      </c>
      <c r="H10">
        <v>172</v>
      </c>
      <c r="I10">
        <f t="shared" si="3"/>
        <v>1.7200000000000001E-4</v>
      </c>
      <c r="J10">
        <v>145966090</v>
      </c>
      <c r="K10">
        <f t="shared" si="4"/>
        <v>145.96609000000001</v>
      </c>
      <c r="L10">
        <v>514718</v>
      </c>
      <c r="M10">
        <f t="shared" si="5"/>
        <v>0.51471800000000001</v>
      </c>
    </row>
    <row r="11" spans="1:13" x14ac:dyDescent="0.25">
      <c r="A11">
        <v>200</v>
      </c>
      <c r="B11">
        <v>118260</v>
      </c>
      <c r="C11">
        <f t="shared" si="0"/>
        <v>0.11826</v>
      </c>
      <c r="D11">
        <v>2797</v>
      </c>
      <c r="E11">
        <f t="shared" si="1"/>
        <v>2.797E-3</v>
      </c>
      <c r="F11">
        <v>1860</v>
      </c>
      <c r="G11">
        <f t="shared" si="2"/>
        <v>1.8600000000000001E-3</v>
      </c>
      <c r="H11">
        <v>136</v>
      </c>
      <c r="I11">
        <f t="shared" si="3"/>
        <v>1.36E-4</v>
      </c>
      <c r="J11">
        <v>145893250</v>
      </c>
      <c r="K11">
        <f t="shared" si="4"/>
        <v>145.89324999999999</v>
      </c>
      <c r="L11">
        <v>1636008</v>
      </c>
      <c r="M11">
        <f t="shared" si="5"/>
        <v>1.6360079999999999</v>
      </c>
    </row>
    <row r="12" spans="1:13" x14ac:dyDescent="0.25">
      <c r="A12">
        <v>220</v>
      </c>
      <c r="B12">
        <v>131280</v>
      </c>
      <c r="C12">
        <f t="shared" si="0"/>
        <v>0.13128000000000001</v>
      </c>
      <c r="D12">
        <v>7500</v>
      </c>
      <c r="E12">
        <f t="shared" si="1"/>
        <v>7.4999999999999997E-3</v>
      </c>
      <c r="F12">
        <v>1910</v>
      </c>
      <c r="G12">
        <f t="shared" si="2"/>
        <v>1.91E-3</v>
      </c>
      <c r="H12">
        <v>130</v>
      </c>
      <c r="I12">
        <f t="shared" si="3"/>
        <v>1.2999999999999999E-4</v>
      </c>
      <c r="J12">
        <v>145932890</v>
      </c>
      <c r="K12">
        <f t="shared" si="4"/>
        <v>145.93288999999999</v>
      </c>
      <c r="L12">
        <v>974914</v>
      </c>
      <c r="M12">
        <f t="shared" si="5"/>
        <v>0.97491399999999995</v>
      </c>
    </row>
    <row r="13" spans="1:13" x14ac:dyDescent="0.25">
      <c r="A13">
        <v>240</v>
      </c>
      <c r="B13">
        <v>139940</v>
      </c>
      <c r="C13">
        <f t="shared" si="0"/>
        <v>0.13994000000000001</v>
      </c>
      <c r="D13">
        <v>2269</v>
      </c>
      <c r="E13">
        <f t="shared" si="1"/>
        <v>2.2690000000000002E-3</v>
      </c>
      <c r="F13">
        <v>1810</v>
      </c>
      <c r="G13">
        <f t="shared" si="2"/>
        <v>1.81E-3</v>
      </c>
      <c r="H13">
        <v>176</v>
      </c>
      <c r="I13">
        <f t="shared" si="3"/>
        <v>1.76E-4</v>
      </c>
      <c r="J13">
        <v>145884800</v>
      </c>
      <c r="K13">
        <f t="shared" si="4"/>
        <v>145.88480000000001</v>
      </c>
      <c r="L13">
        <v>545890</v>
      </c>
      <c r="M13">
        <f t="shared" si="5"/>
        <v>0.54588999999999999</v>
      </c>
    </row>
    <row r="14" spans="1:13" x14ac:dyDescent="0.25">
      <c r="A14">
        <v>260</v>
      </c>
      <c r="B14">
        <v>156790</v>
      </c>
      <c r="C14">
        <f t="shared" si="0"/>
        <v>0.15679000000000001</v>
      </c>
      <c r="D14">
        <v>12360</v>
      </c>
      <c r="E14">
        <f t="shared" si="1"/>
        <v>1.2359999999999999E-2</v>
      </c>
      <c r="F14">
        <v>1920</v>
      </c>
      <c r="G14">
        <f t="shared" si="2"/>
        <v>1.92E-3</v>
      </c>
      <c r="H14">
        <v>108</v>
      </c>
      <c r="I14">
        <f t="shared" si="3"/>
        <v>1.08E-4</v>
      </c>
      <c r="J14">
        <v>145907660</v>
      </c>
      <c r="K14">
        <f t="shared" si="4"/>
        <v>145.90765999999999</v>
      </c>
      <c r="L14">
        <v>542597</v>
      </c>
      <c r="M14">
        <f t="shared" si="5"/>
        <v>0.542597</v>
      </c>
    </row>
    <row r="15" spans="1:13" x14ac:dyDescent="0.25">
      <c r="A15">
        <v>280</v>
      </c>
      <c r="B15">
        <v>165540</v>
      </c>
      <c r="C15">
        <f t="shared" si="0"/>
        <v>0.16553999999999999</v>
      </c>
      <c r="D15">
        <v>5055</v>
      </c>
      <c r="E15">
        <f t="shared" si="1"/>
        <v>5.0549999999999996E-3</v>
      </c>
      <c r="F15">
        <v>1890</v>
      </c>
      <c r="G15">
        <f t="shared" si="2"/>
        <v>1.89E-3</v>
      </c>
      <c r="H15">
        <v>158</v>
      </c>
      <c r="I15">
        <f t="shared" si="3"/>
        <v>1.5799999999999999E-4</v>
      </c>
      <c r="J15">
        <v>147112300</v>
      </c>
      <c r="K15">
        <f t="shared" si="4"/>
        <v>147.1123</v>
      </c>
      <c r="L15">
        <v>1137976</v>
      </c>
      <c r="M15">
        <f t="shared" si="5"/>
        <v>1.1379760000000001</v>
      </c>
    </row>
    <row r="16" spans="1:13" x14ac:dyDescent="0.25">
      <c r="A16">
        <v>300</v>
      </c>
      <c r="B16">
        <v>179600</v>
      </c>
      <c r="C16">
        <f t="shared" si="0"/>
        <v>0.17960000000000001</v>
      </c>
      <c r="D16">
        <v>11700</v>
      </c>
      <c r="E16">
        <f t="shared" si="1"/>
        <v>1.17E-2</v>
      </c>
      <c r="F16">
        <v>1940</v>
      </c>
      <c r="G16">
        <f t="shared" si="2"/>
        <v>1.9400000000000001E-3</v>
      </c>
      <c r="H16">
        <v>180</v>
      </c>
      <c r="I16">
        <f t="shared" si="3"/>
        <v>1.8000000000000001E-4</v>
      </c>
      <c r="J16">
        <v>147125450</v>
      </c>
      <c r="K16">
        <f t="shared" si="4"/>
        <v>147.12545</v>
      </c>
      <c r="L16">
        <v>894001</v>
      </c>
      <c r="M16">
        <f t="shared" si="5"/>
        <v>0.89400100000000005</v>
      </c>
    </row>
    <row r="23" spans="8:8" x14ac:dyDescent="0.25">
      <c r="H23" t="s">
        <v>10</v>
      </c>
    </row>
    <row r="24" spans="8:8" x14ac:dyDescent="0.25">
      <c r="H24" t="s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3802-CAF4-433E-A86F-541283F98A73}">
  <dimension ref="A1:T40"/>
  <sheetViews>
    <sheetView zoomScaleNormal="100" workbookViewId="0">
      <selection activeCell="R23" sqref="R23"/>
    </sheetView>
  </sheetViews>
  <sheetFormatPr defaultRowHeight="15" x14ac:dyDescent="0.25"/>
  <sheetData>
    <row r="1" spans="1:20" x14ac:dyDescent="0.25">
      <c r="B1">
        <v>50</v>
      </c>
      <c r="C1">
        <v>100</v>
      </c>
      <c r="D1">
        <v>150</v>
      </c>
      <c r="E1">
        <v>200</v>
      </c>
      <c r="F1">
        <v>250</v>
      </c>
      <c r="G1">
        <v>300</v>
      </c>
    </row>
    <row r="2" spans="1:20" x14ac:dyDescent="0.25">
      <c r="A2">
        <v>10</v>
      </c>
      <c r="B2">
        <v>2.4E-2</v>
      </c>
      <c r="C2">
        <v>4.4999999999999998E-2</v>
      </c>
      <c r="D2">
        <v>4.2999999999999997E-2</v>
      </c>
      <c r="E2">
        <v>6.0999999999999999E-2</v>
      </c>
      <c r="F2">
        <v>7.1999999999999995E-2</v>
      </c>
      <c r="G2">
        <v>8.8999999999999996E-2</v>
      </c>
    </row>
    <row r="3" spans="1:20" x14ac:dyDescent="0.25">
      <c r="A3">
        <v>12</v>
      </c>
      <c r="B3">
        <v>1.7999999999999999E-2</v>
      </c>
      <c r="C3">
        <v>3.6999999999999998E-2</v>
      </c>
      <c r="D3">
        <v>5.5E-2</v>
      </c>
      <c r="E3">
        <v>7.0999999999999994E-2</v>
      </c>
      <c r="F3">
        <v>0.115</v>
      </c>
      <c r="G3">
        <v>0.14599999999999999</v>
      </c>
    </row>
    <row r="4" spans="1:20" x14ac:dyDescent="0.25">
      <c r="A4">
        <v>14</v>
      </c>
      <c r="B4">
        <v>2.1000000000000001E-2</v>
      </c>
      <c r="C4">
        <v>4.9000000000000002E-2</v>
      </c>
      <c r="D4">
        <v>6.7000000000000004E-2</v>
      </c>
      <c r="E4">
        <v>8.3000000000000004E-2</v>
      </c>
      <c r="F4">
        <v>0.10199999999999999</v>
      </c>
      <c r="G4">
        <v>0.127</v>
      </c>
    </row>
    <row r="5" spans="1:20" x14ac:dyDescent="0.25">
      <c r="A5">
        <v>16</v>
      </c>
      <c r="B5">
        <v>2.5000000000000001E-2</v>
      </c>
      <c r="C5">
        <v>4.7E-2</v>
      </c>
      <c r="D5">
        <v>7.0000000000000007E-2</v>
      </c>
      <c r="E5">
        <v>0.09</v>
      </c>
      <c r="F5">
        <v>0.114</v>
      </c>
      <c r="G5">
        <v>0.13900000000000001</v>
      </c>
    </row>
    <row r="6" spans="1:20" x14ac:dyDescent="0.25">
      <c r="A6">
        <v>18</v>
      </c>
      <c r="B6">
        <v>2.7E-2</v>
      </c>
      <c r="C6">
        <v>5.1999999999999998E-2</v>
      </c>
      <c r="D6">
        <v>0.08</v>
      </c>
      <c r="E6">
        <v>0.106</v>
      </c>
      <c r="F6">
        <v>0.129</v>
      </c>
      <c r="G6">
        <v>0.153</v>
      </c>
    </row>
    <row r="7" spans="1:20" x14ac:dyDescent="0.25">
      <c r="A7">
        <v>20</v>
      </c>
      <c r="B7">
        <v>3.2000000000000001E-2</v>
      </c>
      <c r="C7">
        <v>5.8999999999999997E-2</v>
      </c>
      <c r="D7">
        <v>8.7999999999999995E-2</v>
      </c>
      <c r="E7">
        <v>0.115</v>
      </c>
      <c r="F7">
        <v>0.14399999999999999</v>
      </c>
      <c r="G7">
        <v>0.17100000000000001</v>
      </c>
      <c r="N7" t="s">
        <v>13</v>
      </c>
    </row>
    <row r="9" spans="1:20" x14ac:dyDescent="0.25">
      <c r="A9" t="s">
        <v>12</v>
      </c>
      <c r="O9">
        <v>50</v>
      </c>
      <c r="P9">
        <v>100</v>
      </c>
      <c r="Q9">
        <v>150</v>
      </c>
      <c r="R9">
        <v>200</v>
      </c>
      <c r="S9">
        <v>250</v>
      </c>
      <c r="T9">
        <v>300</v>
      </c>
    </row>
    <row r="10" spans="1:20" x14ac:dyDescent="0.25">
      <c r="N10">
        <v>10</v>
      </c>
      <c r="O10">
        <v>1E-3</v>
      </c>
      <c r="P10">
        <v>1E-3</v>
      </c>
      <c r="Q10">
        <v>1E-3</v>
      </c>
      <c r="R10">
        <v>1E-3</v>
      </c>
      <c r="S10">
        <v>1E-3</v>
      </c>
      <c r="T10">
        <v>1E-3</v>
      </c>
    </row>
    <row r="11" spans="1:20" x14ac:dyDescent="0.25">
      <c r="N11">
        <v>12</v>
      </c>
      <c r="O11">
        <v>1E-3</v>
      </c>
      <c r="P11">
        <v>1E-3</v>
      </c>
      <c r="Q11">
        <v>1E-3</v>
      </c>
      <c r="R11">
        <v>1E-3</v>
      </c>
      <c r="S11">
        <v>1E-3</v>
      </c>
      <c r="T11">
        <v>1E-3</v>
      </c>
    </row>
    <row r="12" spans="1:20" x14ac:dyDescent="0.25">
      <c r="N12">
        <v>14</v>
      </c>
      <c r="O12">
        <v>1E-3</v>
      </c>
      <c r="P12">
        <v>1E-3</v>
      </c>
      <c r="Q12">
        <v>1E-3</v>
      </c>
      <c r="R12">
        <v>1E-3</v>
      </c>
      <c r="S12">
        <v>1E-3</v>
      </c>
      <c r="T12">
        <v>1E-3</v>
      </c>
    </row>
    <row r="13" spans="1:20" x14ac:dyDescent="0.25">
      <c r="N13">
        <v>16</v>
      </c>
      <c r="O13">
        <v>1E-3</v>
      </c>
      <c r="P13">
        <v>1E-3</v>
      </c>
      <c r="Q13">
        <v>1E-3</v>
      </c>
      <c r="R13">
        <v>1E-3</v>
      </c>
      <c r="S13">
        <v>1E-3</v>
      </c>
      <c r="T13">
        <v>1E-3</v>
      </c>
    </row>
    <row r="14" spans="1:20" x14ac:dyDescent="0.25">
      <c r="N14">
        <v>18</v>
      </c>
      <c r="O14">
        <v>1E-3</v>
      </c>
      <c r="P14">
        <v>1E-3</v>
      </c>
      <c r="Q14">
        <v>1E-3</v>
      </c>
      <c r="R14">
        <v>1E-3</v>
      </c>
      <c r="S14">
        <v>1E-3</v>
      </c>
      <c r="T14">
        <v>2E-3</v>
      </c>
    </row>
    <row r="15" spans="1:20" x14ac:dyDescent="0.25">
      <c r="N15">
        <v>20</v>
      </c>
      <c r="O15">
        <v>2E-3</v>
      </c>
      <c r="P15">
        <v>2E-3</v>
      </c>
      <c r="Q15">
        <v>2E-3</v>
      </c>
      <c r="R15">
        <v>2E-3</v>
      </c>
      <c r="S15">
        <v>2E-3</v>
      </c>
      <c r="T15">
        <v>2E-3</v>
      </c>
    </row>
    <row r="32" spans="8:8" x14ac:dyDescent="0.25">
      <c r="H32" t="s">
        <v>14</v>
      </c>
    </row>
    <row r="34" spans="8:14" x14ac:dyDescent="0.25">
      <c r="I34">
        <v>50</v>
      </c>
      <c r="J34">
        <v>100</v>
      </c>
      <c r="K34">
        <v>150</v>
      </c>
      <c r="L34">
        <v>200</v>
      </c>
      <c r="M34">
        <v>250</v>
      </c>
      <c r="N34">
        <v>300</v>
      </c>
    </row>
    <row r="35" spans="8:14" x14ac:dyDescent="0.25">
      <c r="H35">
        <v>10</v>
      </c>
      <c r="I35">
        <v>0.115</v>
      </c>
      <c r="J35">
        <v>0.107</v>
      </c>
      <c r="K35">
        <v>8.4000000000000005E-2</v>
      </c>
      <c r="L35">
        <v>8.4000000000000005E-2</v>
      </c>
      <c r="M35">
        <v>8.3000000000000004E-2</v>
      </c>
      <c r="N35">
        <v>8.5000000000000006E-2</v>
      </c>
    </row>
    <row r="36" spans="8:14" x14ac:dyDescent="0.25">
      <c r="H36">
        <v>12</v>
      </c>
      <c r="I36">
        <v>0.38500000000000001</v>
      </c>
      <c r="J36">
        <v>0.39100000000000001</v>
      </c>
      <c r="K36">
        <v>0.40799999999999997</v>
      </c>
      <c r="L36">
        <v>0.38300000000000001</v>
      </c>
      <c r="M36">
        <v>0.498</v>
      </c>
      <c r="N36">
        <v>0.49299999999999999</v>
      </c>
    </row>
    <row r="37" spans="8:14" x14ac:dyDescent="0.25">
      <c r="H37">
        <v>14</v>
      </c>
      <c r="I37">
        <v>1.6919999999999999</v>
      </c>
      <c r="J37">
        <v>2.0760000000000001</v>
      </c>
      <c r="K37">
        <v>1.9350000000000001</v>
      </c>
      <c r="L37">
        <v>1.73</v>
      </c>
      <c r="M37">
        <v>1.722</v>
      </c>
      <c r="N37">
        <v>1.7110000000000001</v>
      </c>
    </row>
    <row r="38" spans="8:14" x14ac:dyDescent="0.25">
      <c r="H38">
        <v>16</v>
      </c>
      <c r="I38">
        <v>7.6029999999999998</v>
      </c>
      <c r="J38">
        <v>7.6269999999999998</v>
      </c>
      <c r="K38">
        <v>7.5549999999999997</v>
      </c>
      <c r="L38">
        <v>7.4909999999999997</v>
      </c>
      <c r="M38">
        <v>7.468</v>
      </c>
      <c r="N38">
        <v>7.4939999999999998</v>
      </c>
    </row>
    <row r="39" spans="8:14" x14ac:dyDescent="0.25">
      <c r="H39">
        <v>18</v>
      </c>
      <c r="I39">
        <v>33.14</v>
      </c>
      <c r="J39">
        <v>32.875</v>
      </c>
      <c r="K39">
        <v>32.957999999999998</v>
      </c>
      <c r="L39">
        <v>32.936</v>
      </c>
      <c r="M39">
        <v>32.923000000000002</v>
      </c>
      <c r="N39">
        <v>33.07</v>
      </c>
    </row>
    <row r="40" spans="8:14" x14ac:dyDescent="0.25">
      <c r="H40">
        <v>20</v>
      </c>
      <c r="I40">
        <v>143.398</v>
      </c>
      <c r="J40">
        <v>144.03200000000001</v>
      </c>
      <c r="K40">
        <v>143.262</v>
      </c>
      <c r="L40">
        <v>143.196</v>
      </c>
      <c r="M40">
        <v>143.249</v>
      </c>
      <c r="N40">
        <v>145.785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C3A3-DE3B-45C0-9EE3-722AD1B3DDE8}">
  <dimension ref="B6:M15"/>
  <sheetViews>
    <sheetView tabSelected="1" workbookViewId="0">
      <selection activeCell="B6" sqref="B6:G6"/>
    </sheetView>
  </sheetViews>
  <sheetFormatPr defaultRowHeight="15" x14ac:dyDescent="0.25"/>
  <cols>
    <col min="12" max="12" width="17.85546875" bestFit="1" customWidth="1"/>
  </cols>
  <sheetData>
    <row r="6" spans="2:13" x14ac:dyDescent="0.25">
      <c r="B6" t="s">
        <v>15</v>
      </c>
    </row>
    <row r="7" spans="2:13" x14ac:dyDescent="0.25">
      <c r="B7" t="s">
        <v>16</v>
      </c>
    </row>
    <row r="9" spans="2:13" x14ac:dyDescent="0.25">
      <c r="B9" t="s">
        <v>17</v>
      </c>
    </row>
    <row r="10" spans="2:13" x14ac:dyDescent="0.25">
      <c r="B10" t="s">
        <v>18</v>
      </c>
      <c r="L10" s="1" t="s">
        <v>22</v>
      </c>
      <c r="M10" t="s">
        <v>23</v>
      </c>
    </row>
    <row r="11" spans="2:13" x14ac:dyDescent="0.25">
      <c r="B11" t="s">
        <v>19</v>
      </c>
      <c r="L11" s="3">
        <v>0</v>
      </c>
      <c r="M11">
        <v>534</v>
      </c>
    </row>
    <row r="12" spans="2:13" x14ac:dyDescent="0.25">
      <c r="B12" t="s">
        <v>20</v>
      </c>
      <c r="L12" s="2" t="s">
        <v>24</v>
      </c>
      <c r="M12">
        <v>447</v>
      </c>
    </row>
    <row r="13" spans="2:13" x14ac:dyDescent="0.25">
      <c r="L13" s="2" t="s">
        <v>26</v>
      </c>
      <c r="M13">
        <v>18</v>
      </c>
    </row>
    <row r="14" spans="2:13" x14ac:dyDescent="0.25">
      <c r="B14" t="s">
        <v>21</v>
      </c>
      <c r="L14" s="2" t="s">
        <v>27</v>
      </c>
      <c r="M14">
        <v>1</v>
      </c>
    </row>
    <row r="15" spans="2:13" x14ac:dyDescent="0.25">
      <c r="L15" s="2" t="s">
        <v>25</v>
      </c>
      <c r="M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Arkusz1</vt:lpstr>
      <vt:lpstr>Arkusz5</vt:lpstr>
      <vt:lpstr>Arkusz2</vt:lpstr>
      <vt:lpstr>Arkusz3</vt:lpstr>
      <vt:lpstr>Arkusz4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Kowalski</dc:creator>
  <cp:lastModifiedBy>Jacek Kowalski</cp:lastModifiedBy>
  <dcterms:created xsi:type="dcterms:W3CDTF">2026-06-10T12:59:19Z</dcterms:created>
  <dcterms:modified xsi:type="dcterms:W3CDTF">2026-06-11T20:05:38Z</dcterms:modified>
</cp:coreProperties>
</file>